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تقييم مدير الفرع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<sst xmlns="http://schemas.openxmlformats.org/spreadsheetml/2006/main" count="81" uniqueCount="81">
  <si>
    <t xml:space="preserve">نموذج تقييم واعتماد مدير الفرع</t>
  </si>
  <si>
    <t xml:space="preserve">Branch Manager Competency Assessment &amp; Certification</t>
  </si>
  <si>
    <t xml:space="preserve">اسم المدير</t>
  </si>
  <si>
    <t xml:space="preserve">اسم المقيِّم</t>
  </si>
  <si>
    <t xml:space="preserve">المنطقة</t>
  </si>
  <si>
    <t xml:space="preserve">الفرع</t>
  </si>
  <si>
    <t xml:space="preserve">تاريخ التقييم</t>
  </si>
  <si>
    <t xml:space="preserve">فترة التقييم</t>
  </si>
  <si>
    <t xml:space="preserve">الدرجة الكلية / Overall Score</t>
  </si>
  <si>
    <t xml:space="preserve">المهمة / Task</t>
  </si>
  <si>
    <t xml:space="preserve">المعيار / Standard</t>
  </si>
  <si>
    <t xml:space="preserve">التقييم
1-5</t>
  </si>
  <si>
    <t xml:space="preserve">مستوى الكفاءة</t>
  </si>
  <si>
    <t xml:space="preserve">ملاحظات وخطة التطوير</t>
  </si>
  <si>
    <t xml:space="preserve">مقياس التقييم:  1 = ضعيف  |  2 = يحتاج تطوير  |  3 = مقبول  |  4 = جيد  |  5 = ممتاز</t>
  </si>
  <si>
    <t xml:space="preserve">إدارة العمليات اليومية</t>
  </si>
  <si>
    <t xml:space="preserve">تنظيم جدول الموظفين</t>
  </si>
  <si>
    <t xml:space="preserve">توزيع حسب الكفاءة والشفت، مفاتيح معتمدة</t>
  </si>
  <si>
    <t xml:space="preserve">توفير المواد والأدوات باستمرار</t>
  </si>
  <si>
    <t xml:space="preserve">لا نقص في المواد، تواصل فعّال مع المشتريات</t>
  </si>
  <si>
    <t xml:space="preserve">مراقبة النظافة العامة والصيانة</t>
  </si>
  <si>
    <t xml:space="preserve">البار، الجلسات، دورات المياه – يومياً</t>
  </si>
  <si>
    <t xml:space="preserve">فتح وإغلاق الفرع حسب البروتوكول</t>
  </si>
  <si>
    <t xml:space="preserve">Checklist الفتح والإغلاق مكتمل يومياً</t>
  </si>
  <si>
    <t xml:space="preserve">قيادة الفريق وتطوير المهارات</t>
  </si>
  <si>
    <t xml:space="preserve">التحفيز وبناء روح المبادرة</t>
  </si>
  <si>
    <t xml:space="preserve">تحديات يومية، تقدير الأداء، بيئة إيجابية</t>
  </si>
  <si>
    <t xml:space="preserve">تدريب وتوجيه الموظفين</t>
  </si>
  <si>
    <t xml:space="preserve">يُدرّب جديدي التوظيف، يُتابع الأداء بانتظام</t>
  </si>
  <si>
    <t xml:space="preserve">حل النزاعات وبناء بيئة عمل إيجابية</t>
  </si>
  <si>
    <t xml:space="preserve">يحل المشكلات بموضوعية وسرعة</t>
  </si>
  <si>
    <t xml:space="preserve">إدارة الجودة</t>
  </si>
  <si>
    <t xml:space="preserve">التأكد من تحضير المنتجات حسب المعايير</t>
  </si>
  <si>
    <t xml:space="preserve">يتذوق ويقيس جميع الشفتات</t>
  </si>
  <si>
    <t xml:space="preserve">مراقبة استلام وتخزين المنتجات</t>
  </si>
  <si>
    <t xml:space="preserve">FIFO، درجات حرارة التخزين صحيحة</t>
  </si>
  <si>
    <t xml:space="preserve">متابعة تواريخ الانتهاء</t>
  </si>
  <si>
    <t xml:space="preserve">فحص يومي للقهوة، الحليب، السيروب</t>
  </si>
  <si>
    <t xml:space="preserve">مراقبة أداء الموظفين مع العملاء</t>
  </si>
  <si>
    <t xml:space="preserve">التواصل، الزي، التقديم، النظافة الشخصية</t>
  </si>
  <si>
    <t xml:space="preserve">خدمة العملاء</t>
  </si>
  <si>
    <t xml:space="preserve">التعامل مع الشكاوى وحلها</t>
  </si>
  <si>
    <t xml:space="preserve">يُغلق كل شكوى بشكل رسمي في اليوم نفسه</t>
  </si>
  <si>
    <t xml:space="preserve">تعزيز العلاقة مع العملاء</t>
  </si>
  <si>
    <t xml:space="preserve">يعرف العملاء المنتظمين، يتابع تجربتهم</t>
  </si>
  <si>
    <t xml:space="preserve">أخذ آراء العملاء وتدوين الملاحظات</t>
  </si>
  <si>
    <t xml:space="preserve">تقرير أسبوعي بملاحظات العملاء</t>
  </si>
  <si>
    <t xml:space="preserve">الإدارة المالية وضبط التكاليف</t>
  </si>
  <si>
    <t xml:space="preserve">مراقبة المخزون والطلبيات</t>
  </si>
  <si>
    <t xml:space="preserve">لا فائض ولا نقص، طلب حسب نقطة الطلب</t>
  </si>
  <si>
    <t xml:space="preserve">متابعة المبيعات والتارجت اليومي</t>
  </si>
  <si>
    <t xml:space="preserve">متوسط الفاتورة يُتابع يومياً</t>
  </si>
  <si>
    <t xml:space="preserve">مراقبة الهدر وتقليله</t>
  </si>
  <si>
    <t xml:space="preserve">Waste log مكتمل، انحراف لا يتجاوز 3٪</t>
  </si>
  <si>
    <t xml:space="preserve">التقارير والتواصل الإداري</t>
  </si>
  <si>
    <t xml:space="preserve">رفع تقارير دورية بالمبيعات والأداء</t>
  </si>
  <si>
    <t xml:space="preserve">تقرير أسبوعي مكتمل ومُرسَل في الموعد</t>
  </si>
  <si>
    <t xml:space="preserve">متابعة احتياجات البلدية والترخيص</t>
  </si>
  <si>
    <t xml:space="preserve">كروت صحية، رخص دفاع مدني، طفايات محدّثة</t>
  </si>
  <si>
    <t xml:space="preserve">التواصل الفعّال مع الإدارة العليا</t>
  </si>
  <si>
    <t xml:space="preserve">تصعيد المشكلات في الوقت المناسب</t>
  </si>
  <si>
    <t xml:space="preserve">الامتثال لمتطلبات البلدية والسلامة الغذائية</t>
  </si>
  <si>
    <t xml:space="preserve">الكروت الصحية والتراخيص سارية</t>
  </si>
  <si>
    <t xml:space="preserve">لا انتهاء، تجديد قبل 30 يوم من الانتهاء</t>
  </si>
  <si>
    <t xml:space="preserve">أدوات الوقاية (ماسك، كمام، قفازات، غطاء شعر)</t>
  </si>
  <si>
    <t xml:space="preserve">متوفرة ومستخدمة في كل الشفتات</t>
  </si>
  <si>
    <t xml:space="preserve">التخزين السليم وغطاء الحاويات</t>
  </si>
  <si>
    <t xml:space="preserve">لا مخالفات تخزين، مجاري نظيفة</t>
  </si>
  <si>
    <t xml:space="preserve">النتيجة الإجمالية / Overall Score</t>
  </si>
  <si>
    <t xml:space="preserve">الحكم / Verdict</t>
  </si>
  <si>
    <t xml:space="preserve">خطة التطوير / Development Plan</t>
  </si>
  <si>
    <t xml:space="preserve">نقاط القوة / Strengths:</t>
  </si>
  <si>
    <t xml:space="preserve">مجالات التطوير / Areas for Improvement:</t>
  </si>
  <si>
    <t xml:space="preserve">الإجراءات المطلوبة / Required Actions:</t>
  </si>
  <si>
    <t xml:space="preserve">تاريخ إعادة التقييم / Re-evaluation Date:</t>
  </si>
  <si>
    <t xml:space="preserve">التوقيعات / Signatures</t>
  </si>
  <si>
    <t xml:space="preserve">المدير / Manager</t>
  </si>
  <si>
    <t xml:space="preserve">المقيِّم / Evaluator</t>
  </si>
  <si>
    <t xml:space="preserve">مدير العمليات / Ops Manager</t>
  </si>
  <si>
    <t xml:space="preserve">مدير الجودة / QA Manager</t>
  </si>
  <si>
    <t xml:space="preserve">التاريخ / 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</si>
</sst>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E9456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8"/>
      <color rgb="FF33333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b val="true"/>
      <sz val="8"/>
      <color rgb="FF555555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8EDF2"/>
        <bgColor rgb="FFF0F4F8"/>
      </patternFill>
    </fill>
    <fill>
      <patternFill patternType="solid">
        <fgColor rgb="FFFFFFFF"/>
        <bgColor rgb="FFFAFAFA"/>
      </patternFill>
    </fill>
    <fill>
      <patternFill patternType="solid">
        <fgColor rgb="FFFFF9E6"/>
        <bgColor rgb="FFFAFAFA"/>
      </patternFill>
    </fill>
    <fill>
      <patternFill patternType="solid">
        <fgColor rgb="FFE94560"/>
        <bgColor rgb="FF993366"/>
      </patternFill>
    </fill>
    <fill>
      <patternFill patternType="solid">
        <fgColor rgb="FF16213E"/>
        <bgColor rgb="FF1A1A2E"/>
      </patternFill>
    </fill>
    <fill>
      <patternFill patternType="solid">
        <fgColor rgb="FFF0F4F8"/>
        <bgColor rgb="FFFAFAFA"/>
      </patternFill>
    </fill>
    <fill>
      <patternFill patternType="solid">
        <fgColor rgb="FFFAFAFA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5C5C5"/>
      </left>
      <right style="thin">
        <color rgb="FFC5C5C5"/>
      </right>
      <top style="thin">
        <color rgb="FFC5C5C5"/>
      </top>
      <bottom style="thin">
        <color rgb="FFC5C5C5"/>
      </bottom>
      <diagonal/>
    </border>
    <border diagonalUp="false" diagonalDown="false">
      <left style="thin">
        <color rgb="FFC5C5C5"/>
      </left>
      <right/>
      <top style="thin">
        <color rgb="FFC5C5C5"/>
      </top>
      <bottom style="thin">
        <color rgb="FFC5C5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C5C5"/>
      <rgbColor rgb="FF808080"/>
      <rgbColor rgb="FF9999FF"/>
      <rgbColor rgb="FF993366"/>
      <rgbColor rgb="FFFFF9E6"/>
      <rgbColor rgb="FFE8ED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FAFA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555555"/>
      <rgbColor rgb="FFAAAAAA"/>
      <rgbColor rgb="FF16213E"/>
      <rgbColor rgb="FF339966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7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4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21.75" hidden="false" customHeight="true" outlineLevel="0" collapsed="false">
      <c r="A3" s="3" t="s">
        <v>2</v>
      </c>
      <c r="B3" s="4"/>
      <c r="C3" s="3" t="s">
        <v>3</v>
      </c>
      <c r="D3" s="4"/>
      <c r="E3" s="3" t="s">
        <v>4</v>
      </c>
    </row>
    <row r="4" customFormat="false" ht="21.75" hidden="false" customHeight="true" outlineLevel="0" collapsed="false">
      <c r="A4" s="3" t="s">
        <v>5</v>
      </c>
      <c r="B4" s="4"/>
      <c r="C4" s="3" t="s">
        <v>6</v>
      </c>
      <c r="D4" s="4"/>
      <c r="E4" s="3" t="s">
        <v>7</v>
      </c>
    </row>
    <row r="5" customFormat="false" ht="21.75" hidden="false" customHeight="true" outlineLevel="0" collapsed="false">
      <c r="A5" s="5" t="s">
        <v>8</v>
      </c>
      <c r="B5" s="5"/>
      <c r="C5" s="5"/>
      <c r="D5" s="6" t="str">
        <f aca="false">IFERROR(AVERAGE(C9,C10,C11,C12,C14,C15,C16,C18,C19,C20,C21,C23,C24,C25,C27,C28,C29,C31,C32,C33,C35,C36,C37),"لم يكتمل")</f>
        <v>لم يكتمل</v>
      </c>
      <c r="E5" s="6"/>
    </row>
    <row r="6" customFormat="false" ht="24" hidden="false" customHeight="true" outlineLevel="0" collapsed="false">
      <c r="A6" s="7" t="s">
        <v>9</v>
      </c>
      <c r="B6" s="7" t="s">
        <v>10</v>
      </c>
      <c r="C6" s="7" t="s">
        <v>11</v>
      </c>
      <c r="D6" s="7" t="s">
        <v>12</v>
      </c>
      <c r="E6" s="7" t="s">
        <v>13</v>
      </c>
    </row>
    <row r="7" customFormat="false" ht="13.5" hidden="false" customHeight="true" outlineLevel="0" collapsed="false">
      <c r="A7" s="8" t="s">
        <v>14</v>
      </c>
      <c r="B7" s="8"/>
      <c r="C7" s="8"/>
      <c r="D7" s="8"/>
      <c r="E7" s="8"/>
    </row>
    <row r="8" customFormat="false" ht="19.5" hidden="false" customHeight="true" outlineLevel="0" collapsed="false">
      <c r="A8" s="9" t="s">
        <v>15</v>
      </c>
      <c r="B8" s="9"/>
      <c r="C8" s="9"/>
      <c r="D8" s="9"/>
      <c r="E8" s="9"/>
    </row>
    <row r="9" customFormat="false" ht="30" hidden="false" customHeight="true" outlineLevel="0" collapsed="false">
      <c r="A9" s="10" t="s">
        <v>16</v>
      </c>
      <c r="B9" s="11" t="s">
        <v>17</v>
      </c>
      <c r="C9" s="12"/>
      <c r="D9" s="13" t="str">
        <f aca="false">IF(C9="","",IF(C9&gt;=4.6,"ممتاز",IF(C9&gt;=3.6,"جيد",IF(C9&gt;=2.1,"مقبول","يحتاج تطوير"))))</f>
        <v/>
      </c>
      <c r="E9" s="10"/>
    </row>
    <row r="10" customFormat="false" ht="30" hidden="false" customHeight="true" outlineLevel="0" collapsed="false">
      <c r="A10" s="14" t="s">
        <v>18</v>
      </c>
      <c r="B10" s="15" t="s">
        <v>19</v>
      </c>
      <c r="C10" s="16"/>
      <c r="D10" s="17" t="str">
        <f aca="false">IF(C10="","",IF(C10&gt;=4.6,"ممتاز",IF(C10&gt;=3.6,"جيد",IF(C10&gt;=2.1,"مقبول","يحتاج تطوير"))))</f>
        <v/>
      </c>
      <c r="E10" s="14"/>
    </row>
    <row r="11" customFormat="false" ht="30" hidden="false" customHeight="true" outlineLevel="0" collapsed="false">
      <c r="A11" s="10" t="s">
        <v>20</v>
      </c>
      <c r="B11" s="11" t="s">
        <v>21</v>
      </c>
      <c r="C11" s="12"/>
      <c r="D11" s="13" t="str">
        <f aca="false">IF(C11="","",IF(C11&gt;=4.6,"ممتاز",IF(C11&gt;=3.6,"جيد",IF(C11&gt;=2.1,"مقبول","يحتاج تطوير"))))</f>
        <v/>
      </c>
      <c r="E11" s="10"/>
    </row>
    <row r="12" customFormat="false" ht="30" hidden="false" customHeight="true" outlineLevel="0" collapsed="false">
      <c r="A12" s="14" t="s">
        <v>22</v>
      </c>
      <c r="B12" s="15" t="s">
        <v>23</v>
      </c>
      <c r="C12" s="16"/>
      <c r="D12" s="17" t="str">
        <f aca="false">IF(C12="","",IF(C12&gt;=4.6,"ممتاز",IF(C12&gt;=3.6,"جيد",IF(C12&gt;=2.1,"مقبول","يحتاج تطوير"))))</f>
        <v/>
      </c>
      <c r="E12" s="14"/>
    </row>
    <row r="13" customFormat="false" ht="19.5" hidden="false" customHeight="true" outlineLevel="0" collapsed="false">
      <c r="A13" s="9" t="s">
        <v>24</v>
      </c>
      <c r="B13" s="9"/>
      <c r="C13" s="9"/>
      <c r="D13" s="9"/>
      <c r="E13" s="9"/>
    </row>
    <row r="14" customFormat="false" ht="30" hidden="false" customHeight="true" outlineLevel="0" collapsed="false">
      <c r="A14" s="14" t="s">
        <v>25</v>
      </c>
      <c r="B14" s="15" t="s">
        <v>26</v>
      </c>
      <c r="C14" s="16"/>
      <c r="D14" s="17" t="str">
        <f aca="false">IF(C14="","",IF(C14&gt;=4.6,"ممتاز",IF(C14&gt;=3.6,"جيد",IF(C14&gt;=2.1,"مقبول","يحتاج تطوير"))))</f>
        <v/>
      </c>
      <c r="E14" s="14"/>
    </row>
    <row r="15" customFormat="false" ht="30" hidden="false" customHeight="true" outlineLevel="0" collapsed="false">
      <c r="A15" s="10" t="s">
        <v>27</v>
      </c>
      <c r="B15" s="11" t="s">
        <v>28</v>
      </c>
      <c r="C15" s="12"/>
      <c r="D15" s="13" t="str">
        <f aca="false">IF(C15="","",IF(C15&gt;=4.6,"ممتاز",IF(C15&gt;=3.6,"جيد",IF(C15&gt;=2.1,"مقبول","يحتاج تطوير"))))</f>
        <v/>
      </c>
      <c r="E15" s="10"/>
    </row>
    <row r="16" customFormat="false" ht="30" hidden="false" customHeight="true" outlineLevel="0" collapsed="false">
      <c r="A16" s="14" t="s">
        <v>29</v>
      </c>
      <c r="B16" s="15" t="s">
        <v>30</v>
      </c>
      <c r="C16" s="16"/>
      <c r="D16" s="17" t="str">
        <f aca="false">IF(C16="","",IF(C16&gt;=4.6,"ممتاز",IF(C16&gt;=3.6,"جيد",IF(C16&gt;=2.1,"مقبول","يحتاج تطوير"))))</f>
        <v/>
      </c>
      <c r="E16" s="14"/>
    </row>
    <row r="17" customFormat="false" ht="19.5" hidden="false" customHeight="true" outlineLevel="0" collapsed="false">
      <c r="A17" s="9" t="s">
        <v>31</v>
      </c>
      <c r="B17" s="9"/>
      <c r="C17" s="9"/>
      <c r="D17" s="9"/>
      <c r="E17" s="9"/>
    </row>
    <row r="18" customFormat="false" ht="30" hidden="false" customHeight="true" outlineLevel="0" collapsed="false">
      <c r="A18" s="14" t="s">
        <v>32</v>
      </c>
      <c r="B18" s="15" t="s">
        <v>33</v>
      </c>
      <c r="C18" s="16"/>
      <c r="D18" s="17" t="str">
        <f aca="false">IF(C18="","",IF(C18&gt;=4.6,"ممتاز",IF(C18&gt;=3.6,"جيد",IF(C18&gt;=2.1,"مقبول","يحتاج تطوير"))))</f>
        <v/>
      </c>
      <c r="E18" s="14"/>
    </row>
    <row r="19" customFormat="false" ht="30" hidden="false" customHeight="true" outlineLevel="0" collapsed="false">
      <c r="A19" s="10" t="s">
        <v>34</v>
      </c>
      <c r="B19" s="11" t="s">
        <v>35</v>
      </c>
      <c r="C19" s="12"/>
      <c r="D19" s="13" t="str">
        <f aca="false">IF(C19="","",IF(C19&gt;=4.6,"ممتاز",IF(C19&gt;=3.6,"جيد",IF(C19&gt;=2.1,"مقبول","يحتاج تطوير"))))</f>
        <v/>
      </c>
      <c r="E19" s="10"/>
    </row>
    <row r="20" customFormat="false" ht="30" hidden="false" customHeight="true" outlineLevel="0" collapsed="false">
      <c r="A20" s="14" t="s">
        <v>36</v>
      </c>
      <c r="B20" s="15" t="s">
        <v>37</v>
      </c>
      <c r="C20" s="16"/>
      <c r="D20" s="17" t="str">
        <f aca="false">IF(C20="","",IF(C20&gt;=4.6,"ممتاز",IF(C20&gt;=3.6,"جيد",IF(C20&gt;=2.1,"مقبول","يحتاج تطوير"))))</f>
        <v/>
      </c>
      <c r="E20" s="14"/>
    </row>
    <row r="21" customFormat="false" ht="30" hidden="false" customHeight="true" outlineLevel="0" collapsed="false">
      <c r="A21" s="10" t="s">
        <v>38</v>
      </c>
      <c r="B21" s="11" t="s">
        <v>39</v>
      </c>
      <c r="C21" s="12"/>
      <c r="D21" s="13" t="str">
        <f aca="false">IF(C21="","",IF(C21&gt;=4.6,"ممتاز",IF(C21&gt;=3.6,"جيد",IF(C21&gt;=2.1,"مقبول","يحتاج تطوير"))))</f>
        <v/>
      </c>
      <c r="E21" s="10"/>
    </row>
    <row r="22" customFormat="false" ht="19.5" hidden="false" customHeight="true" outlineLevel="0" collapsed="false">
      <c r="A22" s="9" t="s">
        <v>40</v>
      </c>
      <c r="B22" s="9"/>
      <c r="C22" s="9"/>
      <c r="D22" s="9"/>
      <c r="E22" s="9"/>
    </row>
    <row r="23" customFormat="false" ht="30" hidden="false" customHeight="true" outlineLevel="0" collapsed="false">
      <c r="A23" s="10" t="s">
        <v>41</v>
      </c>
      <c r="B23" s="11" t="s">
        <v>42</v>
      </c>
      <c r="C23" s="12"/>
      <c r="D23" s="13" t="str">
        <f aca="false">IF(C23="","",IF(C23&gt;=4.6,"ممتاز",IF(C23&gt;=3.6,"جيد",IF(C23&gt;=2.1,"مقبول","يحتاج تطوير"))))</f>
        <v/>
      </c>
      <c r="E23" s="10"/>
    </row>
    <row r="24" customFormat="false" ht="30" hidden="false" customHeight="true" outlineLevel="0" collapsed="false">
      <c r="A24" s="14" t="s">
        <v>43</v>
      </c>
      <c r="B24" s="15" t="s">
        <v>44</v>
      </c>
      <c r="C24" s="16"/>
      <c r="D24" s="17" t="str">
        <f aca="false">IF(C24="","",IF(C24&gt;=4.6,"ممتاز",IF(C24&gt;=3.6,"جيد",IF(C24&gt;=2.1,"مقبول","يحتاج تطوير"))))</f>
        <v/>
      </c>
      <c r="E24" s="14"/>
    </row>
    <row r="25" customFormat="false" ht="30" hidden="false" customHeight="true" outlineLevel="0" collapsed="false">
      <c r="A25" s="10" t="s">
        <v>45</v>
      </c>
      <c r="B25" s="11" t="s">
        <v>46</v>
      </c>
      <c r="C25" s="12"/>
      <c r="D25" s="13" t="str">
        <f aca="false">IF(C25="","",IF(C25&gt;=4.6,"ممتاز",IF(C25&gt;=3.6,"جيد",IF(C25&gt;=2.1,"مقبول","يحتاج تطوير"))))</f>
        <v/>
      </c>
      <c r="E25" s="10"/>
    </row>
    <row r="26" customFormat="false" ht="19.5" hidden="false" customHeight="true" outlineLevel="0" collapsed="false">
      <c r="A26" s="9" t="s">
        <v>47</v>
      </c>
      <c r="B26" s="9"/>
      <c r="C26" s="9"/>
      <c r="D26" s="9"/>
      <c r="E26" s="9"/>
    </row>
    <row r="27" customFormat="false" ht="30" hidden="false" customHeight="true" outlineLevel="0" collapsed="false">
      <c r="A27" s="10" t="s">
        <v>48</v>
      </c>
      <c r="B27" s="11" t="s">
        <v>49</v>
      </c>
      <c r="C27" s="12"/>
      <c r="D27" s="13" t="str">
        <f aca="false">IF(C27="","",IF(C27&gt;=4.6,"ممتاز",IF(C27&gt;=3.6,"جيد",IF(C27&gt;=2.1,"مقبول","يحتاج تطوير"))))</f>
        <v/>
      </c>
      <c r="E27" s="10"/>
    </row>
    <row r="28" customFormat="false" ht="30" hidden="false" customHeight="true" outlineLevel="0" collapsed="false">
      <c r="A28" s="14" t="s">
        <v>50</v>
      </c>
      <c r="B28" s="15" t="s">
        <v>51</v>
      </c>
      <c r="C28" s="16"/>
      <c r="D28" s="17" t="str">
        <f aca="false">IF(C28="","",IF(C28&gt;=4.6,"ممتاز",IF(C28&gt;=3.6,"جيد",IF(C28&gt;=2.1,"مقبول","يحتاج تطوير"))))</f>
        <v/>
      </c>
      <c r="E28" s="14"/>
    </row>
    <row r="29" customFormat="false" ht="30" hidden="false" customHeight="true" outlineLevel="0" collapsed="false">
      <c r="A29" s="10" t="s">
        <v>52</v>
      </c>
      <c r="B29" s="11" t="s">
        <v>53</v>
      </c>
      <c r="C29" s="12"/>
      <c r="D29" s="13" t="str">
        <f aca="false">IF(C29="","",IF(C29&gt;=4.6,"ممتاز",IF(C29&gt;=3.6,"جيد",IF(C29&gt;=2.1,"مقبول","يحتاج تطوير"))))</f>
        <v/>
      </c>
      <c r="E29" s="10"/>
    </row>
    <row r="30" customFormat="false" ht="19.5" hidden="false" customHeight="true" outlineLevel="0" collapsed="false">
      <c r="A30" s="9" t="s">
        <v>54</v>
      </c>
      <c r="B30" s="9"/>
      <c r="C30" s="9"/>
      <c r="D30" s="9"/>
      <c r="E30" s="9"/>
    </row>
    <row r="31" customFormat="false" ht="30" hidden="false" customHeight="true" outlineLevel="0" collapsed="false">
      <c r="A31" s="10" t="s">
        <v>55</v>
      </c>
      <c r="B31" s="11" t="s">
        <v>56</v>
      </c>
      <c r="C31" s="12"/>
      <c r="D31" s="13" t="str">
        <f aca="false">IF(C31="","",IF(C31&gt;=4.6,"ممتاز",IF(C31&gt;=3.6,"جيد",IF(C31&gt;=2.1,"مقبول","يحتاج تطوير"))))</f>
        <v/>
      </c>
      <c r="E31" s="10"/>
    </row>
    <row r="32" customFormat="false" ht="30" hidden="false" customHeight="true" outlineLevel="0" collapsed="false">
      <c r="A32" s="14" t="s">
        <v>57</v>
      </c>
      <c r="B32" s="15" t="s">
        <v>58</v>
      </c>
      <c r="C32" s="16"/>
      <c r="D32" s="17" t="str">
        <f aca="false">IF(C32="","",IF(C32&gt;=4.6,"ممتاز",IF(C32&gt;=3.6,"جيد",IF(C32&gt;=2.1,"مقبول","يحتاج تطوير"))))</f>
        <v/>
      </c>
      <c r="E32" s="14"/>
    </row>
    <row r="33" customFormat="false" ht="30" hidden="false" customHeight="true" outlineLevel="0" collapsed="false">
      <c r="A33" s="10" t="s">
        <v>59</v>
      </c>
      <c r="B33" s="11" t="s">
        <v>60</v>
      </c>
      <c r="C33" s="12"/>
      <c r="D33" s="13" t="str">
        <f aca="false">IF(C33="","",IF(C33&gt;=4.6,"ممتاز",IF(C33&gt;=3.6,"جيد",IF(C33&gt;=2.1,"مقبول","يحتاج تطوير"))))</f>
        <v/>
      </c>
      <c r="E33" s="10"/>
    </row>
    <row r="34" customFormat="false" ht="19.5" hidden="false" customHeight="true" outlineLevel="0" collapsed="false">
      <c r="A34" s="9" t="s">
        <v>61</v>
      </c>
      <c r="B34" s="9"/>
      <c r="C34" s="9"/>
      <c r="D34" s="9"/>
      <c r="E34" s="9"/>
    </row>
    <row r="35" customFormat="false" ht="30" hidden="false" customHeight="true" outlineLevel="0" collapsed="false">
      <c r="A35" s="10" t="s">
        <v>62</v>
      </c>
      <c r="B35" s="11" t="s">
        <v>63</v>
      </c>
      <c r="C35" s="12"/>
      <c r="D35" s="13" t="str">
        <f aca="false">IF(C35="","",IF(C35&gt;=4.6,"ممتاز",IF(C35&gt;=3.6,"جيد",IF(C35&gt;=2.1,"مقبول","يحتاج تطوير"))))</f>
        <v/>
      </c>
      <c r="E35" s="10"/>
    </row>
    <row r="36" customFormat="false" ht="30" hidden="false" customHeight="true" outlineLevel="0" collapsed="false">
      <c r="A36" s="14" t="s">
        <v>64</v>
      </c>
      <c r="B36" s="15" t="s">
        <v>65</v>
      </c>
      <c r="C36" s="16"/>
      <c r="D36" s="17" t="str">
        <f aca="false">IF(C36="","",IF(C36&gt;=4.6,"ممتاز",IF(C36&gt;=3.6,"جيد",IF(C36&gt;=2.1,"مقبول","يحتاج تطوير"))))</f>
        <v/>
      </c>
      <c r="E36" s="14"/>
    </row>
    <row r="37" customFormat="false" ht="30" hidden="false" customHeight="true" outlineLevel="0" collapsed="false">
      <c r="A37" s="10" t="s">
        <v>66</v>
      </c>
      <c r="B37" s="11" t="s">
        <v>67</v>
      </c>
      <c r="C37" s="12"/>
      <c r="D37" s="13" t="str">
        <f aca="false">IF(C37="","",IF(C37&gt;=4.6,"ممتاز",IF(C37&gt;=3.6,"جيد",IF(C37&gt;=2.1,"مقبول","يحتاج تطوير"))))</f>
        <v/>
      </c>
      <c r="E37" s="10"/>
    </row>
    <row r="38" customFormat="false" ht="24" hidden="false" customHeight="true" outlineLevel="0" collapsed="false">
      <c r="A38" s="18" t="s">
        <v>68</v>
      </c>
      <c r="B38" s="18"/>
      <c r="C38" s="6" t="str">
        <f aca="false">IFERROR(AVERAGE(C9,C10,C11,C12,C14,C15,C16,C18,C19,C20,C21,C23,C24,C25,C27,C28,C29,C31,C32,C33,C35,C36,C37),"لم يكتمل")</f>
        <v>لم يكتمل</v>
      </c>
      <c r="D38" s="6"/>
      <c r="E38" s="6"/>
    </row>
    <row r="39" customFormat="false" ht="24" hidden="false" customHeight="true" outlineLevel="0" collapsed="false">
      <c r="A39" s="18" t="s">
        <v>69</v>
      </c>
      <c r="B39" s="18"/>
      <c r="C39" s="19" t="str">
        <f aca="false">IF(IFERROR(AVERAGE(C9,C10,C11,C12,C14,C15,C16,C18,C19,C20,C21,C23,C24,C25,C27,C28,C29,C31,C32,C33,C35,C36,C37),0)&gt;=4.6,"✓  معتمد بامتياز",IF(IFERROR(AVERAGE(C9,C10,C11,C12,C14,C15,C16,C18,C19,C20,C21,C23,C24,C25,C27,C28,C29,C31,C32,C33,C35,C36,C37),0)&gt;=3.6,"✓  معتمد",IF(IFERROR(AVERAGE(C9,C10,C11,C12,C14,C15,C16,C18,C19,C20,C21,C23,C24,C25,C27,C28,C29,C31,C32,C33,C35,C36,C37),0)&gt;=2.1,"⚠  معتمد مشروط – مع خطة تطوير","✗  يحتاج إعادة تقييم بعد 30 يوم")))</f>
        <v>✗  يحتاج إعادة تقييم بعد 30 يوم</v>
      </c>
      <c r="D39" s="19"/>
      <c r="E39" s="19"/>
    </row>
    <row r="40" customFormat="false" ht="19.5" hidden="false" customHeight="true" outlineLevel="0" collapsed="false">
      <c r="A40" s="9" t="s">
        <v>70</v>
      </c>
      <c r="B40" s="9"/>
      <c r="C40" s="9"/>
      <c r="D40" s="9"/>
      <c r="E40" s="9"/>
    </row>
    <row r="41" customFormat="false" ht="27.75" hidden="false" customHeight="true" outlineLevel="0" collapsed="false">
      <c r="A41" s="20" t="s">
        <v>71</v>
      </c>
      <c r="B41" s="20"/>
      <c r="C41" s="21"/>
      <c r="D41" s="21"/>
      <c r="E41" s="21"/>
    </row>
    <row r="42" customFormat="false" ht="27.75" hidden="false" customHeight="true" outlineLevel="0" collapsed="false">
      <c r="A42" s="20" t="s">
        <v>72</v>
      </c>
      <c r="B42" s="20"/>
      <c r="C42" s="21"/>
      <c r="D42" s="21"/>
      <c r="E42" s="21"/>
    </row>
    <row r="43" customFormat="false" ht="27.75" hidden="false" customHeight="true" outlineLevel="0" collapsed="false">
      <c r="A43" s="20" t="s">
        <v>73</v>
      </c>
      <c r="B43" s="20"/>
      <c r="C43" s="21"/>
      <c r="D43" s="21"/>
      <c r="E43" s="21"/>
    </row>
    <row r="44" customFormat="false" ht="27.75" hidden="false" customHeight="true" outlineLevel="0" collapsed="false">
      <c r="A44" s="20" t="s">
        <v>74</v>
      </c>
      <c r="B44" s="20"/>
      <c r="C44" s="21"/>
      <c r="D44" s="21"/>
      <c r="E44" s="21"/>
    </row>
    <row r="45" customFormat="false" ht="13.5" hidden="false" customHeight="true" outlineLevel="0" collapsed="false">
      <c r="A45" s="22" t="s">
        <v>75</v>
      </c>
      <c r="B45" s="22"/>
      <c r="C45" s="22"/>
      <c r="D45" s="22"/>
      <c r="E45" s="22"/>
    </row>
    <row r="46" customFormat="false" ht="18" hidden="false" customHeight="true" outlineLevel="0" collapsed="false">
      <c r="A46" s="23" t="s">
        <v>76</v>
      </c>
      <c r="B46" s="23" t="s">
        <v>77</v>
      </c>
      <c r="C46" s="23" t="s">
        <v>78</v>
      </c>
      <c r="D46" s="23" t="s">
        <v>79</v>
      </c>
      <c r="E46" s="23" t="s">
        <v>80</v>
      </c>
    </row>
    <row r="47" customFormat="false" ht="39.75" hidden="false" customHeight="true" outlineLevel="0" collapsed="false">
      <c r="A47" s="4"/>
      <c r="B47" s="4"/>
      <c r="C47" s="4"/>
      <c r="D47" s="4"/>
      <c r="E47" s="4"/>
    </row>
  </sheetData>
  <mergeCells count="26">
    <mergeCell ref="A1:E1"/>
    <mergeCell ref="A2:E2"/>
    <mergeCell ref="A5:C5"/>
    <mergeCell ref="D5:E5"/>
    <mergeCell ref="A7:E7"/>
    <mergeCell ref="A8:E8"/>
    <mergeCell ref="A13:E13"/>
    <mergeCell ref="A17:E17"/>
    <mergeCell ref="A22:E22"/>
    <mergeCell ref="A26:E26"/>
    <mergeCell ref="A30:E30"/>
    <mergeCell ref="A34:E34"/>
    <mergeCell ref="A38:B38"/>
    <mergeCell ref="C38:E38"/>
    <mergeCell ref="A39:B39"/>
    <mergeCell ref="C39:E39"/>
    <mergeCell ref="A40:E40"/>
    <mergeCell ref="A41:B41"/>
    <mergeCell ref="C41:E41"/>
    <mergeCell ref="A42:B42"/>
    <mergeCell ref="C42:E42"/>
    <mergeCell ref="A43:B43"/>
    <mergeCell ref="C43:E43"/>
    <mergeCell ref="A44:B44"/>
    <mergeCell ref="C44:E44"/>
    <mergeCell ref="A45:E45"/>
  </mergeCells>
  <conditionalFormatting sqref="C9:C44">
    <cfRule type="colorScale" priority="2">
      <colorScale>
        <cfvo type="num" val="1"/>
        <cfvo type="num" val="3"/>
        <cfvo type="num" val="5"/>
        <color rgb="FFFF4C4C"/>
        <color rgb="FFFFC000"/>
        <color rgb="FF70AD47"/>
      </colorScale>
    </cfRule>
  </conditionalFormatting>
  <dataValidations count="1">
    <dataValidation allowBlank="false" error="أدخل رقماً من 1 إلى 5 فقط" errorStyle="stop" errorTitle="قيمة غير صحيحة" operator="between" prompt="1=ضعيف  2=يحتاج تطوير  3=مقبول  4=جيد  5=ممتاز" promptTitle="التقييم" showDropDown="false" showErrorMessage="true" showInputMessage="true" sqref="C9:C47" type="whole">
      <formula1>1</formula1>
      <formula2>5</formula2>
    </dataValidation>
  </dataValidations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2026-04-16T08:59:30Z</dcterms:created>
  <dc:creator>openpyxl</dc:creator>
  <dc:description/>
  <dc:language>en-US</dc:language>
  <cp:lastModifiedBy/>
  <dcterms:modified xsi:type="dcterms:W3CDTF">2026-04-16T08:59:31Z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