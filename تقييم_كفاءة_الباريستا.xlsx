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قييم الباريست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<sst xmlns="http://schemas.openxmlformats.org/spreadsheetml/2006/main" count="75" uniqueCount="75">
  <si>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نموذج تقييم كفاءة الباريستا</t>
  </si>
  <si>
    <t xml:space="preserve">Barista Competency Assessment Form</t>
  </si>
  <si>
    <t xml:space="preserve">اسم المتدرب  /  Trainee Name</t>
  </si>
  <si>
    <t xml:space="preserve">اسم المدرب  /  Trainer Name</t>
  </si>
  <si>
    <t xml:space="preserve">الفرع  /  Branch</t>
  </si>
  <si>
    <t xml:space="preserve">التاريخ  /  Date</t>
  </si>
  <si>
    <t xml:space="preserve">الشفت  /  Shift</t>
  </si>
  <si>
    <t xml:space="preserve">الدرجة الكلية  /  Total Score</t>
  </si>
  <si>
    <t xml:space="preserve">البند / Item</t>
  </si>
  <si>
    <t xml:space="preserve">المعيار / Benchmark</t>
  </si>
  <si>
    <t xml:space="preserve">التقييم
1-5</t>
  </si>
  <si>
    <t xml:space="preserve">ملاحظات / Notes</t>
  </si>
  <si>
    <t xml:space="preserve">مقياس التقييم:  1 = ضعيف  |  2 = يحتاج تطوير  |  3 = مقبول  |  4 = جيد  |  5 = ممتاز</t>
  </si>
  <si>
    <t xml:space="preserve">المهارات الفنية والتحضير</t>
  </si>
  <si>
    <t xml:space="preserve">اتباع المعايير في تحضير المشروبات بدقة</t>
  </si>
  <si>
    <t xml:space="preserve">الوصفة القياسية مطبقة 100٪ على كل مشروب</t>
  </si>
  <si>
    <t xml:space="preserve">ضبط الطحن والاستخلاص</t>
  </si>
  <si>
    <t xml:space="preserve">الجرام والوقت والضغط حسب المعيار</t>
  </si>
  <si>
    <t xml:space="preserve">تبخير الحليب</t>
  </si>
  <si>
    <t xml:space="preserve">درجة الحرارة 60-65°C، نسيج المخمل مناسب لكل مشروب</t>
  </si>
  <si>
    <t xml:space="preserve">التعامل مع الماكينة والمطحنة</t>
  </si>
  <si>
    <t xml:space="preserve">القدرة على البرمجة والمعايرة وصيانة اليومية</t>
  </si>
  <si>
    <t xml:space="preserve">الخدمة والتفاعل مع العملاء</t>
  </si>
  <si>
    <t xml:space="preserve">الترحيب واللباقة مع العميل</t>
  </si>
  <si>
    <t xml:space="preserve">الابتسامة، اسم العميل، مقترحات اختيار</t>
  </si>
  <si>
    <t xml:space="preserve">الاستجابة السريعة وتنفيذ الطلب بدقة</t>
  </si>
  <si>
    <t xml:space="preserve">الطلب صحيح ١٠٠٪ بما فيه الطلبات الخاصة</t>
  </si>
  <si>
    <t xml:space="preserve">التعامل مع الشكاوى</t>
  </si>
  <si>
    <t xml:space="preserve">يحل المشكلة بهدوء وفعالية دون تصعيد</t>
  </si>
  <si>
    <t xml:space="preserve">البيع الإيجابي (Upselling)</t>
  </si>
  <si>
    <t xml:space="preserve">يقترح منتجات تكميلية بأسلوب لائق</t>
  </si>
  <si>
    <t xml:space="preserve">الالتزام والانضباط</t>
  </si>
  <si>
    <t xml:space="preserve">الالتزام بمواعيد الدوام</t>
  </si>
  <si>
    <t xml:space="preserve">الحضور في الوقت المحدد، لا تأخير متكرر</t>
  </si>
  <si>
    <t xml:space="preserve">اتباع قواعد السلامة الغذائية</t>
  </si>
  <si>
    <t xml:space="preserve">قفازات، كمام، غطاء شعر، لا مجوهرات</t>
  </si>
  <si>
    <t xml:space="preserve">الالتزام بالسياسات الداخلية</t>
  </si>
  <si>
    <t xml:space="preserve">لا هاتف / سماعات / أكل في منطقة التحضير</t>
  </si>
  <si>
    <t xml:space="preserve">الالتزام بالجداول التشغيلية</t>
  </si>
  <si>
    <t xml:space="preserve">تنظيف، جرد، طلبات حسب الجدول المعتمد</t>
  </si>
  <si>
    <t xml:space="preserve">السرعة والدقة في تنفيذ الطلبات</t>
  </si>
  <si>
    <t xml:space="preserve">السرعة في التحضير أوقات الذروة</t>
  </si>
  <si>
    <t xml:space="preserve">هدف الوقت محقق مع الحفاظ على الجودة</t>
  </si>
  <si>
    <t xml:space="preserve">الدقة في الطلبات الحرارية والخاصة</t>
  </si>
  <si>
    <t xml:space="preserve">Extra hot، Sugar-free، وزيادة الفوم مطبقة</t>
  </si>
  <si>
    <t xml:space="preserve">التنظيم والنظافة داخل البار</t>
  </si>
  <si>
    <t xml:space="preserve">نظافة وترتيب البار أثناء وبعد العمل</t>
  </si>
  <si>
    <t xml:space="preserve">لا تراكم، لا بقايا، الأدوات في أماكنها</t>
  </si>
  <si>
    <t xml:space="preserve">توافر المنتجات المحضرة مسبقاً</t>
  </si>
  <si>
    <t xml:space="preserve">قهوة اليوم، Spanish، سيروب الخ متوفرة</t>
  </si>
  <si>
    <t xml:space="preserve">تنظيف الماكينة والمطحنة</t>
  </si>
  <si>
    <t xml:space="preserve">تنظيف يومي وفق بروتوكول النظافة</t>
  </si>
  <si>
    <t xml:space="preserve">المظهر العام والنظافة الشخصية</t>
  </si>
  <si>
    <t xml:space="preserve">الالتزام بالزي الرسمي</t>
  </si>
  <si>
    <t xml:space="preserve">زي نظيف ومرتب وكامل في كل نوبة</t>
  </si>
  <si>
    <t xml:space="preserve">النظافة الشخصية</t>
  </si>
  <si>
    <t xml:space="preserve">لا عطور قوية، أظافر قصيرة، شعر مرتب</t>
  </si>
  <si>
    <t xml:space="preserve">الكاشير</t>
  </si>
  <si>
    <t xml:space="preserve">إدخال الطلبات بطريقة صحيحة</t>
  </si>
  <si>
    <t xml:space="preserve">الاسم، الطلب، طريقة الدفع – لا أخطاء</t>
  </si>
  <si>
    <t xml:space="preserve">تقفيل الحسابات بدقة</t>
  </si>
  <si>
    <t xml:space="preserve">كاش يطابق النظام بنهاية الشفت</t>
  </si>
  <si>
    <t xml:space="preserve">التعلم المستمر والتطوير</t>
  </si>
  <si>
    <t xml:space="preserve">تطوير مهارات القهوة (ذوق، آرت، تبخير)</t>
  </si>
  <si>
    <t xml:space="preserve">مشاركة في التدريبات وتطبيق ما تعلمه</t>
  </si>
  <si>
    <t xml:space="preserve">المبادرة والابتكار</t>
  </si>
  <si>
    <t xml:space="preserve">يقترح أفكاراً بناءة ويعمل باستقلالية</t>
  </si>
  <si>
    <t xml:space="preserve">مقياس النتيجة النهائية:  1.0-2.0 = يحتاج خطة تطوير فورية  |  2.1-3.5 = مقبول – يحتاج متابعة  |  3.6-4.5 = جيد  |  4.6-5.0 = ممتاز</t>
  </si>
  <si>
    <t xml:space="preserve">النتيجة الإجمالية / Overall Result</t>
  </si>
  <si>
    <t xml:space="preserve">الحكم / Verdict</t>
  </si>
  <si>
    <t xml:space="preserve">التوقيعات / Signatures</t>
  </si>
  <si>
    <t xml:space="preserve">توقيع المتدرب / Trainee</t>
  </si>
  <si>
    <t xml:space="preserve">توقيع المدرب / Trainer</t>
  </si>
  <si>
    <t xml:space="preserve">اعتماد المدير / Manager Approval</t>
  </si>
  <si>
    <t xml:space="preserve">التاريخ /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</si>
</sst>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E9456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8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DF2"/>
        <bgColor rgb="FFF0F4F8"/>
      </patternFill>
    </fill>
    <fill>
      <patternFill patternType="solid">
        <fgColor rgb="FFFFFFFF"/>
        <bgColor rgb="FFFAFAFA"/>
      </patternFill>
    </fill>
    <fill>
      <patternFill patternType="solid">
        <fgColor rgb="FFE94560"/>
        <bgColor rgb="FF993366"/>
      </patternFill>
    </fill>
    <fill>
      <patternFill patternType="solid">
        <fgColor rgb="FFFFF9E6"/>
        <bgColor rgb="FFFAFAFA"/>
      </patternFill>
    </fill>
    <fill>
      <patternFill patternType="solid">
        <fgColor rgb="FF16213E"/>
        <bgColor rgb="FF1A1A2E"/>
      </patternFill>
    </fill>
    <fill>
      <patternFill patternType="solid">
        <fgColor rgb="FFF0F4F8"/>
        <bgColor rgb="FFFAFAFA"/>
      </patternFill>
    </fill>
    <fill>
      <patternFill patternType="solid">
        <fgColor rgb="FFFFF0D4"/>
        <bgColor rgb="FFFFF9E6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 diagonalUp="false" diagonalDown="false">
      <left style="thin">
        <color rgb="FFC5C5C5"/>
      </left>
      <right/>
      <top style="thin">
        <color rgb="FFC5C5C5"/>
      </top>
      <bottom style="thin">
        <color rgb="FFC5C5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5C5"/>
      <rgbColor rgb="FF808080"/>
      <rgbColor rgb="FF9999FF"/>
      <rgbColor rgb="FF993366"/>
      <rgbColor rgb="FFFFF9E6"/>
      <rgbColor rgb="FFE8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AFAFA"/>
      <rgbColor rgb="FFFFF0D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AAAAAA"/>
      <rgbColor rgb="FF16213E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37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4"/>
      <c r="C3" s="3" t="s">
        <v>3</v>
      </c>
      <c r="D3" s="4"/>
    </row>
    <row r="4" customFormat="false" ht="21.75" hidden="false" customHeight="true" outlineLevel="0" collapsed="false">
      <c r="A4" s="3" t="s">
        <v>4</v>
      </c>
      <c r="B4" s="4"/>
      <c r="C4" s="3" t="s">
        <v>5</v>
      </c>
      <c r="D4" s="4"/>
    </row>
    <row r="5" customFormat="false" ht="21.75" hidden="false" customHeight="true" outlineLevel="0" collapsed="false">
      <c r="A5" s="3" t="s">
        <v>6</v>
      </c>
      <c r="B5" s="4"/>
      <c r="C5" s="3" t="s">
        <v>7</v>
      </c>
      <c r="D5" s="5" t="str">
        <f aca="false">IFERROR(AVERAGE(C9,C10,C11,C12,C15,C16,C17,C18,C21,C22,C23,C24,C27,C28,C31,C32,C35,C36,C37,C40,C41,C43,C44,C46,C47),"")</f>
        <v/>
      </c>
    </row>
    <row r="6" customFormat="false" ht="24" hidden="false" customHeight="true" outlineLevel="0" collapsed="false">
      <c r="A6" s="6" t="s">
        <v>8</v>
      </c>
      <c r="B6" s="6" t="s">
        <v>9</v>
      </c>
      <c r="C6" s="6" t="s">
        <v>10</v>
      </c>
      <c r="D6" s="6" t="s">
        <v>11</v>
      </c>
    </row>
    <row r="7" customFormat="false" ht="13.5" hidden="false" customHeight="true" outlineLevel="0" collapsed="false">
      <c r="A7" s="7" t="s">
        <v>12</v>
      </c>
      <c r="B7" s="7"/>
      <c r="C7" s="7"/>
      <c r="D7" s="7"/>
    </row>
    <row r="8" customFormat="false" ht="19.5" hidden="false" customHeight="true" outlineLevel="0" collapsed="false">
      <c r="A8" s="8" t="s">
        <v>13</v>
      </c>
      <c r="B8" s="8"/>
      <c r="C8" s="8"/>
      <c r="D8" s="8"/>
    </row>
    <row r="9" customFormat="false" ht="30" hidden="false" customHeight="true" outlineLevel="0" collapsed="false">
      <c r="A9" s="9" t="s">
        <v>14</v>
      </c>
      <c r="B9" s="10" t="s">
        <v>15</v>
      </c>
      <c r="C9" s="11"/>
      <c r="D9" s="9"/>
    </row>
    <row r="10" customFormat="false" ht="30" hidden="false" customHeight="true" outlineLevel="0" collapsed="false">
      <c r="A10" s="12" t="s">
        <v>16</v>
      </c>
      <c r="B10" s="13" t="s">
        <v>17</v>
      </c>
      <c r="C10" s="14"/>
      <c r="D10" s="12"/>
    </row>
    <row r="11" customFormat="false" ht="30" hidden="false" customHeight="true" outlineLevel="0" collapsed="false">
      <c r="A11" s="9" t="s">
        <v>18</v>
      </c>
      <c r="B11" s="10" t="s">
        <v>19</v>
      </c>
      <c r="C11" s="11"/>
      <c r="D11" s="9"/>
    </row>
    <row r="12" customFormat="false" ht="30" hidden="false" customHeight="true" outlineLevel="0" collapsed="false">
      <c r="A12" s="12" t="s">
        <v>20</v>
      </c>
      <c r="B12" s="13" t="s">
        <v>21</v>
      </c>
      <c r="C12" s="14"/>
      <c r="D12" s="12"/>
    </row>
    <row r="13" customFormat="false" ht="19.5" hidden="false" customHeight="true" outlineLevel="0" collapsed="false">
      <c r="A13" s="8" t="s">
        <v>22</v>
      </c>
      <c r="B13" s="8"/>
      <c r="C13" s="8"/>
      <c r="D13" s="8"/>
    </row>
    <row r="14" customFormat="false" ht="30" hidden="false" customHeight="true" outlineLevel="0" collapsed="false">
      <c r="A14" s="12" t="s">
        <v>23</v>
      </c>
      <c r="B14" s="13" t="s">
        <v>24</v>
      </c>
      <c r="C14" s="14"/>
      <c r="D14" s="12"/>
    </row>
    <row r="15" customFormat="false" ht="30" hidden="false" customHeight="true" outlineLevel="0" collapsed="false">
      <c r="A15" s="9" t="s">
        <v>25</v>
      </c>
      <c r="B15" s="10" t="s">
        <v>26</v>
      </c>
      <c r="C15" s="11"/>
      <c r="D15" s="9"/>
    </row>
    <row r="16" customFormat="false" ht="30" hidden="false" customHeight="true" outlineLevel="0" collapsed="false">
      <c r="A16" s="12" t="s">
        <v>27</v>
      </c>
      <c r="B16" s="13" t="s">
        <v>28</v>
      </c>
      <c r="C16" s="14"/>
      <c r="D16" s="12"/>
    </row>
    <row r="17" customFormat="false" ht="30" hidden="false" customHeight="true" outlineLevel="0" collapsed="false">
      <c r="A17" s="9" t="s">
        <v>29</v>
      </c>
      <c r="B17" s="10" t="s">
        <v>30</v>
      </c>
      <c r="C17" s="11"/>
      <c r="D17" s="9"/>
    </row>
    <row r="18" customFormat="false" ht="19.5" hidden="false" customHeight="true" outlineLevel="0" collapsed="false">
      <c r="A18" s="8" t="s">
        <v>31</v>
      </c>
      <c r="B18" s="8"/>
      <c r="C18" s="8"/>
      <c r="D18" s="8"/>
    </row>
    <row r="19" customFormat="false" ht="30" hidden="false" customHeight="true" outlineLevel="0" collapsed="false">
      <c r="A19" s="9" t="s">
        <v>32</v>
      </c>
      <c r="B19" s="10" t="s">
        <v>33</v>
      </c>
      <c r="C19" s="11"/>
      <c r="D19" s="9"/>
    </row>
    <row r="20" customFormat="false" ht="30" hidden="false" customHeight="true" outlineLevel="0" collapsed="false">
      <c r="A20" s="12" t="s">
        <v>34</v>
      </c>
      <c r="B20" s="13" t="s">
        <v>35</v>
      </c>
      <c r="C20" s="14"/>
      <c r="D20" s="12"/>
    </row>
    <row r="21" customFormat="false" ht="30" hidden="false" customHeight="true" outlineLevel="0" collapsed="false">
      <c r="A21" s="9" t="s">
        <v>36</v>
      </c>
      <c r="B21" s="10" t="s">
        <v>37</v>
      </c>
      <c r="C21" s="11"/>
      <c r="D21" s="9"/>
    </row>
    <row r="22" customFormat="false" ht="30" hidden="false" customHeight="true" outlineLevel="0" collapsed="false">
      <c r="A22" s="12" t="s">
        <v>38</v>
      </c>
      <c r="B22" s="13" t="s">
        <v>39</v>
      </c>
      <c r="C22" s="14"/>
      <c r="D22" s="12"/>
    </row>
    <row r="23" customFormat="false" ht="19.5" hidden="false" customHeight="true" outlineLevel="0" collapsed="false">
      <c r="A23" s="8" t="s">
        <v>40</v>
      </c>
      <c r="B23" s="8"/>
      <c r="C23" s="8"/>
      <c r="D23" s="8"/>
    </row>
    <row r="24" customFormat="false" ht="30" hidden="false" customHeight="true" outlineLevel="0" collapsed="false">
      <c r="A24" s="12" t="s">
        <v>41</v>
      </c>
      <c r="B24" s="13" t="s">
        <v>42</v>
      </c>
      <c r="C24" s="14"/>
      <c r="D24" s="12"/>
    </row>
    <row r="25" customFormat="false" ht="30" hidden="false" customHeight="true" outlineLevel="0" collapsed="false">
      <c r="A25" s="9" t="s">
        <v>43</v>
      </c>
      <c r="B25" s="10" t="s">
        <v>44</v>
      </c>
      <c r="C25" s="11"/>
      <c r="D25" s="9"/>
    </row>
    <row r="26" customFormat="false" ht="19.5" hidden="false" customHeight="true" outlineLevel="0" collapsed="false">
      <c r="A26" s="8" t="s">
        <v>45</v>
      </c>
      <c r="B26" s="8"/>
      <c r="C26" s="8"/>
      <c r="D26" s="8"/>
    </row>
    <row r="27" customFormat="false" ht="30" hidden="false" customHeight="true" outlineLevel="0" collapsed="false">
      <c r="A27" s="9" t="s">
        <v>46</v>
      </c>
      <c r="B27" s="10" t="s">
        <v>47</v>
      </c>
      <c r="C27" s="11"/>
      <c r="D27" s="9"/>
    </row>
    <row r="28" customFormat="false" ht="30" hidden="false" customHeight="true" outlineLevel="0" collapsed="false">
      <c r="A28" s="12" t="s">
        <v>48</v>
      </c>
      <c r="B28" s="13" t="s">
        <v>49</v>
      </c>
      <c r="C28" s="14"/>
      <c r="D28" s="12"/>
    </row>
    <row r="29" customFormat="false" ht="30" hidden="false" customHeight="true" outlineLevel="0" collapsed="false">
      <c r="A29" s="9" t="s">
        <v>50</v>
      </c>
      <c r="B29" s="10" t="s">
        <v>51</v>
      </c>
      <c r="C29" s="11"/>
      <c r="D29" s="9"/>
    </row>
    <row r="30" customFormat="false" ht="19.5" hidden="false" customHeight="true" outlineLevel="0" collapsed="false">
      <c r="A30" s="8" t="s">
        <v>52</v>
      </c>
      <c r="B30" s="8"/>
      <c r="C30" s="8"/>
      <c r="D30" s="8"/>
    </row>
    <row r="31" customFormat="false" ht="30" hidden="false" customHeight="true" outlineLevel="0" collapsed="false">
      <c r="A31" s="9" t="s">
        <v>53</v>
      </c>
      <c r="B31" s="10" t="s">
        <v>54</v>
      </c>
      <c r="C31" s="11"/>
      <c r="D31" s="9"/>
    </row>
    <row r="32" customFormat="false" ht="30" hidden="false" customHeight="true" outlineLevel="0" collapsed="false">
      <c r="A32" s="12" t="s">
        <v>55</v>
      </c>
      <c r="B32" s="13" t="s">
        <v>56</v>
      </c>
      <c r="C32" s="14"/>
      <c r="D32" s="12"/>
    </row>
    <row r="33" customFormat="false" ht="19.5" hidden="false" customHeight="true" outlineLevel="0" collapsed="false">
      <c r="A33" s="8" t="s">
        <v>57</v>
      </c>
      <c r="B33" s="8"/>
      <c r="C33" s="8"/>
      <c r="D33" s="8"/>
    </row>
    <row r="34" customFormat="false" ht="30" hidden="false" customHeight="true" outlineLevel="0" collapsed="false">
      <c r="A34" s="12" t="s">
        <v>58</v>
      </c>
      <c r="B34" s="13" t="s">
        <v>59</v>
      </c>
      <c r="C34" s="14"/>
      <c r="D34" s="12"/>
    </row>
    <row r="35" customFormat="false" ht="30" hidden="false" customHeight="true" outlineLevel="0" collapsed="false">
      <c r="A35" s="9" t="s">
        <v>60</v>
      </c>
      <c r="B35" s="10" t="s">
        <v>61</v>
      </c>
      <c r="C35" s="11"/>
      <c r="D35" s="9"/>
    </row>
    <row r="36" customFormat="false" ht="19.5" hidden="false" customHeight="true" outlineLevel="0" collapsed="false">
      <c r="A36" s="8" t="s">
        <v>62</v>
      </c>
      <c r="B36" s="8"/>
      <c r="C36" s="8"/>
      <c r="D36" s="8"/>
    </row>
    <row r="37" customFormat="false" ht="30" hidden="false" customHeight="true" outlineLevel="0" collapsed="false">
      <c r="A37" s="9" t="s">
        <v>63</v>
      </c>
      <c r="B37" s="10" t="s">
        <v>64</v>
      </c>
      <c r="C37" s="11"/>
      <c r="D37" s="9"/>
    </row>
    <row r="38" customFormat="false" ht="30" hidden="false" customHeight="true" outlineLevel="0" collapsed="false">
      <c r="A38" s="12" t="s">
        <v>65</v>
      </c>
      <c r="B38" s="13" t="s">
        <v>66</v>
      </c>
      <c r="C38" s="14"/>
      <c r="D38" s="12"/>
    </row>
    <row r="39" customFormat="false" ht="18" hidden="false" customHeight="true" outlineLevel="0" collapsed="false">
      <c r="A39" s="15" t="s">
        <v>67</v>
      </c>
      <c r="B39" s="15"/>
      <c r="C39" s="15"/>
      <c r="D39" s="15"/>
    </row>
    <row r="40" customFormat="false" ht="24" hidden="false" customHeight="true" outlineLevel="0" collapsed="false">
      <c r="A40" s="16" t="s">
        <v>68</v>
      </c>
      <c r="B40" s="16"/>
      <c r="C40" s="17" t="str">
        <f aca="false">IFERROR(AVERAGE(C9,C10,C11,C12,C14,C15,C16,C17,C19,C20,C21,C22,C24,C25,C27,C28,C29,C31,C32,C34,C35,C37,C38),"لم يكتمل")</f>
        <v>لم يكتمل</v>
      </c>
      <c r="D40" s="17"/>
    </row>
    <row r="41" customFormat="false" ht="24" hidden="false" customHeight="true" outlineLevel="0" collapsed="false">
      <c r="A41" s="16" t="s">
        <v>69</v>
      </c>
      <c r="B41" s="16"/>
      <c r="C41" s="18" t="str">
        <f aca="false">IF(IFERROR(AVERAGE(C9,C10,C11,C12,C14,C15,C16,C17,C19,C20,C21,C22,C24,C25,C27,C28,C29,C31,C32,C34,C35,C37,C38),0)&gt;=3.6,"✓  ناجح - Passed",IF(IFERROR(AVERAGE(C9,C10,C11,C12,C14,C15,C16,C17,C19,C20,C21,C22,C24,C25,C27,C28,C29,C31,C32,C34,C35,C37,C38),0)&gt;=2.1,"⚠  يحتاج متابعة - Follow-up","✗  يحتاج خطة تطوير - Dev Plan Required"))</f>
        <v>✗  يحتاج خطة تطوير - Dev Plan Required</v>
      </c>
      <c r="D41" s="18"/>
    </row>
    <row r="42" customFormat="false" ht="13.5" hidden="false" customHeight="true" outlineLevel="0" collapsed="false">
      <c r="A42" s="19" t="s">
        <v>70</v>
      </c>
      <c r="B42" s="19"/>
      <c r="C42" s="19"/>
      <c r="D42" s="19"/>
    </row>
    <row r="43" customFormat="false" ht="31.5" hidden="false" customHeight="true" outlineLevel="0" collapsed="false">
      <c r="A43" s="20" t="s">
        <v>71</v>
      </c>
      <c r="B43" s="20" t="s">
        <v>72</v>
      </c>
      <c r="C43" s="20" t="s">
        <v>73</v>
      </c>
      <c r="D43" s="20" t="s">
        <v>74</v>
      </c>
    </row>
    <row r="44" customFormat="false" ht="36" hidden="false" customHeight="true" outlineLevel="0" collapsed="false">
      <c r="A44" s="4"/>
      <c r="B44" s="4"/>
      <c r="C44" s="4"/>
      <c r="D44" s="4"/>
    </row>
  </sheetData>
  <mergeCells count="17">
    <mergeCell ref="A1:D1"/>
    <mergeCell ref="A2:D2"/>
    <mergeCell ref="A7:D7"/>
    <mergeCell ref="A8:D8"/>
    <mergeCell ref="A13:D13"/>
    <mergeCell ref="A18:D18"/>
    <mergeCell ref="A23:D23"/>
    <mergeCell ref="A26:D26"/>
    <mergeCell ref="A30:D30"/>
    <mergeCell ref="A33:D33"/>
    <mergeCell ref="A36:D36"/>
    <mergeCell ref="A39:D39"/>
    <mergeCell ref="A40:B40"/>
    <mergeCell ref="C40:D40"/>
    <mergeCell ref="A41:B41"/>
    <mergeCell ref="C41:D41"/>
    <mergeCell ref="A42:D42"/>
  </mergeCells>
  <conditionalFormatting sqref="C9:C39">
    <cfRule type="colorScale" priority="2">
      <colorScale>
        <cfvo type="num" val="1"/>
        <cfvo type="num" val="3"/>
        <cfvo type="num" val="5"/>
        <color rgb="FFFF4C4C"/>
        <color rgb="FFFFC000"/>
        <color rgb="FF70AD47"/>
      </colorScale>
    </cfRule>
  </conditionalFormatting>
  <dataValidations count="1">
    <dataValidation allowBlank="false" error="أدخل رقماً من 1 إلى 5 فقط" errorStyle="stop" errorTitle="قيمة غير صحيحة" operator="between" prompt="1=ضعيف  2=يحتاج تطوير  3=مقبول  4=جيد  5=ممتاز" promptTitle="التقييم" showDropDown="false" showErrorMessage="true" showInputMessage="true" sqref="C9:C44" type="whole">
      <formula1>1</formula1>
      <formula2>5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2026-04-16T08:59:30Z</dcterms:created>
  <dc:creator>openpyxl</dc:creator>
  <dc:description/>
  <dc:language>en-US</dc:language>
  <cp:lastModifiedBy/>
  <dcterms:modified xsi:type="dcterms:W3CDTF">2026-04-16T08:59:30Z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