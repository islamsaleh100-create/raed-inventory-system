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زيارة الجود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<sst xmlns="http://schemas.openxmlformats.org/spreadsheetml/2006/main" count="58" uniqueCount="53">
  <si>
    <t xml:space="preserve">نموذج زيارة الجودة الداخلية – أوندا</t>
  </si>
  <si>
    <t xml:space="preserve">ONDA Internal Quality Visit Checklist</t>
  </si>
  <si>
    <t xml:space="preserve">الفرع / Branch</t>
  </si>
  <si>
    <t xml:space="preserve">الزائر / Visitor</t>
  </si>
  <si>
    <t xml:space="preserve">التاريخ / Date</t>
  </si>
  <si>
    <t xml:space="preserve">الشفت / Shift</t>
  </si>
  <si>
    <t xml:space="preserve">المسؤول بالفرع / Branch In-Charge</t>
  </si>
  <si>
    <t xml:space="preserve">وقت الزيارة / Visit Time</t>
  </si>
  <si>
    <t xml:space="preserve">إجمالي الالتزام / Compliance %</t>
  </si>
  <si>
    <t xml:space="preserve">البند / Item</t>
  </si>
  <si>
    <t xml:space="preserve">الحالة</t>
  </si>
  <si>
    <t xml:space="preserve">ملاحظات / Notes</t>
  </si>
  <si>
    <t xml:space="preserve">الإجراء التصحيحي / Corrective Action</t>
  </si>
  <si>
    <t xml:space="preserve">المسؤول / Owner</t>
  </si>
  <si>
    <t xml:space="preserve">الموعد / Due</t>
  </si>
  <si>
    <t xml:space="preserve">الحالة:  نعم = ملتزم  |  لا = غير ملتزم (يتطلب إجراء)  |  لا ينطبق = خارج النطاق</t>
  </si>
  <si>
    <t xml:space="preserve">الجودة / Quality</t>
  </si>
  <si>
    <t xml:space="preserve">جميع ملصقات التاريخ صحيحة ومحدّثة
All date labels are correct and updated</t>
  </si>
  <si>
    <t xml:space="preserve">جميع المعدات معايَرة (ماكينة، مطحنة، ثلاجات)
All equipment calibrated – espresso machine, grinder, fridges</t>
  </si>
  <si>
    <t xml:space="preserve">درجات الحرارة ضمن المعيار المعتمد
All temperatures within approved standards</t>
  </si>
  <si>
    <t xml:space="preserve">الهدر مُسجَّل بشكل صحيح في Waste Log
All wastage checked and logged properly</t>
  </si>
  <si>
    <t xml:space="preserve">TDS للمياه ضمن النطاق المعتمد (100-200 ppm)
Water TDS within approved range</t>
  </si>
  <si>
    <t xml:space="preserve">المشروبات تُحضَّر حسب الوصفة القياسية
Drinks prepared as per standard recipe</t>
  </si>
  <si>
    <t xml:space="preserve">الالتزام في هذا المحور / Section Compliance</t>
  </si>
  <si>
    <t xml:space="preserve">نظافة الموظفين / Staff Hygiene</t>
  </si>
  <si>
    <t xml:space="preserve">جميع الموظفين بزي نظيف ومكتمل
All staff wearing clean and complete uniform</t>
  </si>
  <si>
    <t xml:space="preserve">الموظفون يرتدون القفازات والكمام
All employees wearing gloves and face mask</t>
  </si>
  <si>
    <t xml:space="preserve">الحلاقة، الأظافر القصيرة، الشعر مرتب
Shaved, short nails, hair neatly tied</t>
  </si>
  <si>
    <t xml:space="preserve">الامتثال لسياسة المجوهرات (لا مجوهرات داخل البار)
Compliance with jewellery policy</t>
  </si>
  <si>
    <t xml:space="preserve">الكروت الصحية (بلدية) سارية لجميع الموظفين
All employees have valid health cards</t>
  </si>
  <si>
    <t xml:space="preserve">الخدمة / Service</t>
  </si>
  <si>
    <t xml:space="preserve">الترحيب بالعملاء بأسلوب احترافي
Customers greeted professionally</t>
  </si>
  <si>
    <t xml:space="preserve">البيع الإيجابي (Upselling) يُطبَّق
Suggestive selling / upselling is practiced</t>
  </si>
  <si>
    <t xml:space="preserve">وقت الخدمة حسب التارجت المعتمد
Service time meets approved target</t>
  </si>
  <si>
    <t xml:space="preserve">جميع التطبيقات (ديليفري، نقاط بيع) مفعّلة ومتحققة
All applications turned on and checked</t>
  </si>
  <si>
    <t xml:space="preserve">البهارات ومستلزمات الطاولة ممتلئة ومنظمة
All condiments refilled and stocked</t>
  </si>
  <si>
    <t xml:space="preserve">ثلاجة العرض منظمة ومكتملة
Display chiller organized and fully stocked</t>
  </si>
  <si>
    <t xml:space="preserve">النظافة / Cleanliness</t>
  </si>
  <si>
    <t xml:space="preserve">البار منظم ونظيف
The bar area is organized and clean</t>
  </si>
  <si>
    <t xml:space="preserve">منطقة الجلوس (Dine-in) نظيفة ومرتبة
Dine-in area is clean and organized</t>
  </si>
  <si>
    <t xml:space="preserve">ممر Drive-Through نظيف
Drive-through lane is clean</t>
  </si>
  <si>
    <t xml:space="preserve">الزجاج والأبواب نظيفة
Windows and doors are clean</t>
  </si>
  <si>
    <t xml:space="preserve">الحمامات نظيفة ومجهزة
Restrooms are clean and supplied</t>
  </si>
  <si>
    <t xml:space="preserve">الحاويات مغطاة والمصارف نظيفة
Bins covered and drains clean</t>
  </si>
  <si>
    <t xml:space="preserve">ملخص الزيارة وتوصيات الجودة / Visit Summary &amp; QA Recommendations</t>
  </si>
  <si>
    <t xml:space="preserve">أبرز الملاحظات الإيجابية / Key Positive Observations:</t>
  </si>
  <si>
    <t xml:space="preserve">أبرز المخالفات / Key Non-Conformances:</t>
  </si>
  <si>
    <t xml:space="preserve">توصيات الزيارة / Visit Recommendations:</t>
  </si>
  <si>
    <t xml:space="preserve">موعد الزيارة التصحيحية / Follow-up Visit Date:</t>
  </si>
  <si>
    <t xml:space="preserve">التوقيعات / Signatures</t>
  </si>
  <si>
    <t xml:space="preserve">مدير الفرع / Branch Manager</t>
  </si>
  <si>
    <t xml:space="preserve">مدير الجودة / QA Manager</t>
  </si>
  <si>
    <t xml:space="preserve">الإجراء التصحيحي مكتمل / Action Complete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</si>
</sst>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E94560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i val="true"/>
      <sz val="8"/>
      <color rgb="FF000000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b val="true"/>
      <sz val="8"/>
      <color rgb="FF555555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8EDF2"/>
        <bgColor rgb="FFF0F4F8"/>
      </patternFill>
    </fill>
    <fill>
      <patternFill patternType="solid">
        <fgColor rgb="FFFFFFFF"/>
        <bgColor rgb="FFFAFAFA"/>
      </patternFill>
    </fill>
    <fill>
      <patternFill patternType="solid">
        <fgColor rgb="FFFFF9E6"/>
        <bgColor rgb="FFFAFAFA"/>
      </patternFill>
    </fill>
    <fill>
      <patternFill patternType="solid">
        <fgColor rgb="FFF0F4F8"/>
        <bgColor rgb="FFFAFAFA"/>
      </patternFill>
    </fill>
    <fill>
      <patternFill patternType="solid">
        <fgColor rgb="FFE94560"/>
        <bgColor rgb="FF993366"/>
      </patternFill>
    </fill>
    <fill>
      <patternFill patternType="solid">
        <fgColor rgb="FF1A3A5C"/>
        <bgColor rgb="FF333333"/>
      </patternFill>
    </fill>
    <fill>
      <patternFill patternType="solid">
        <fgColor rgb="FF1E5C3A"/>
        <bgColor rgb="FF1A3A5C"/>
      </patternFill>
    </fill>
    <fill>
      <patternFill patternType="solid">
        <fgColor rgb="FF5C3A1E"/>
        <bgColor rgb="FF333333"/>
      </patternFill>
    </fill>
    <fill>
      <patternFill patternType="solid">
        <fgColor rgb="FF3A1A5C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AFAF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5C5C5"/>
      </left>
      <right style="thin">
        <color rgb="FFC5C5C5"/>
      </right>
      <top style="thin">
        <color rgb="FFC5C5C5"/>
      </top>
      <bottom style="thin">
        <color rgb="FFC5C5C5"/>
      </bottom>
      <diagonal/>
    </border>
    <border diagonalUp="false" diagonalDown="false">
      <left style="thin">
        <color rgb="FFC5C5C5"/>
      </left>
      <right/>
      <top style="thin">
        <color rgb="FFC5C5C5"/>
      </top>
      <bottom style="thin">
        <color rgb="FFC5C5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CCC"/>
        </patternFill>
      </fill>
    </dxf>
    <dxf>
      <fill>
        <patternFill>
          <bgColor rgb="FFCCFF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5C3A"/>
      <rgbColor rgb="FF1A1A2E"/>
      <rgbColor rgb="FF808000"/>
      <rgbColor rgb="FF800080"/>
      <rgbColor rgb="FF008080"/>
      <rgbColor rgb="FFC5C5C5"/>
      <rgbColor rgb="FF808080"/>
      <rgbColor rgb="FF9999FF"/>
      <rgbColor rgb="FF993366"/>
      <rgbColor rgb="FFFFF9E6"/>
      <rgbColor rgb="FFE8ED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CCFFCC"/>
      <rgbColor rgb="FFFAFAFA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E94560"/>
      <rgbColor rgb="FF555555"/>
      <rgbColor rgb="FFAAAAAA"/>
      <rgbColor rgb="FF1A3A5C"/>
      <rgbColor rgb="FF339966"/>
      <rgbColor rgb="FF16213E"/>
      <rgbColor rgb="FF5C3A1E"/>
      <rgbColor rgb="FF993300"/>
      <rgbColor rgb="FF993366"/>
      <rgbColor rgb="FF3A1A5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2</v>
      </c>
      <c r="B3" s="4"/>
      <c r="C3" s="3" t="s">
        <v>3</v>
      </c>
      <c r="D3" s="4"/>
      <c r="E3" s="3" t="s">
        <v>4</v>
      </c>
      <c r="F3" s="4"/>
    </row>
    <row r="4" customFormat="false" ht="21.75" hidden="false" customHeight="true" outlineLevel="0" collapsed="false">
      <c r="A4" s="3" t="s">
        <v>5</v>
      </c>
      <c r="B4" s="4"/>
      <c r="C4" s="3" t="s">
        <v>6</v>
      </c>
      <c r="D4" s="4"/>
      <c r="E4" s="3" t="s">
        <v>7</v>
      </c>
      <c r="F4" s="4"/>
    </row>
    <row r="5" customFormat="false" ht="21.75" hidden="false" customHeight="true" outlineLevel="0" collapsed="false">
      <c r="A5" s="5" t="s">
        <v>8</v>
      </c>
      <c r="B5" s="5"/>
      <c r="C5" s="6" t="str">
        <f aca="false">IFERROR((COUNTIF(B9,"نعم")+COUNTIF(B10,"نعم")+COUNTIF(B11,"نعم")+COUNTIF(B12,"نعم")+COUNTIF(B13,"نعم")+COUNTIF(B14,"نعم")+COUNTIF(B17,"نعم")+COUNTIF(B18,"نعم")+COUNTIF(B19,"نعم")+COUNTIF(B20,"نعم")+COUNTIF(B21,"نعم")+COUNTIF(B24,"نعم")+COUNTIF(B25,"نعم")+COUNTIF(B26,"نعم")+COUNTIF(B27,"نعم")+COUNTIF(B28,"نعم")+COUNTIF(B29,"نعم")+COUNTIF(B32,"نعم")+COUNTIF(B33,"نعم")+COUNTIF(B34,"نعم")+COUNTIF(B35,"نعم")+COUNTIF(B36,"نعم")+COUNTIF(B37,"نعم"))/((IF(B9&lt;&gt;"",1,0))+(IF(B10&lt;&gt;"",1,0))+(IF(B11&lt;&gt;"",1,0))+(IF(B12&lt;&gt;"",1,0))+(IF(B13&lt;&gt;"",1,0))+(IF(B14&lt;&gt;"",1,0))+(IF(B17&lt;&gt;"",1,0))+(IF(B18&lt;&gt;"",1,0))+(IF(B19&lt;&gt;"",1,0))+(IF(B20&lt;&gt;"",1,0))+(IF(B21&lt;&gt;"",1,0))+(IF(B24&lt;&gt;"",1,0))+(IF(B25&lt;&gt;"",1,0))+(IF(B26&lt;&gt;"",1,0))+(IF(B27&lt;&gt;"",1,0))+(IF(B28&lt;&gt;"",1,0))+(IF(B29&lt;&gt;"",1,0))+(IF(B32&lt;&gt;"",1,0))+(IF(B33&lt;&gt;"",1,0))+(IF(B34&lt;&gt;"",1,0))+(IF(B35&lt;&gt;"",1,0))+(IF(B36&lt;&gt;"",1,0))+(IF(B37&lt;&gt;"",1,0))),"")</f>
        <v/>
      </c>
      <c r="D5" s="6"/>
      <c r="E5" s="7" t="str">
        <f aca="false">IF(IFERROR((COUNTIF(B9,"نعم")+COUNTIF(B10,"نعم")+COUNTIF(B11,"نعم")+COUNTIF(B12,"نعم")+COUNTIF(B13,"نعم")+COUNTIF(B14,"نعم")+COUNTIF(B17,"نعم")+COUNTIF(B18,"نعم")+COUNTIF(B19,"نعم")+COUNTIF(B20,"نعم")+COUNTIF(B21,"نعم")+COUNTIF(B24,"نعم")+COUNTIF(B25,"نعم")+COUNTIF(B26,"نعم")+COUNTIF(B27,"نعم")+COUNTIF(B28,"نعم")+COUNTIF(B29,"نعم")+COUNTIF(B32,"نعم")+COUNTIF(B33,"نعم")+COUNTIF(B34,"نعم")+COUNTIF(B35,"نعم")+COUNTIF(B36,"نعم")+COUNTIF(B37,"نعم"))/((IF(B9&lt;&gt;"",1,0))+(IF(B10&lt;&gt;"",1,0))+(IF(B11&lt;&gt;"",1,0))+(IF(B12&lt;&gt;"",1,0))+(IF(B13&lt;&gt;"",1,0))+(IF(B14&lt;&gt;"",1,0))+(IF(B17&lt;&gt;"",1,0))+(IF(B18&lt;&gt;"",1,0))+(IF(B19&lt;&gt;"",1,0))+(IF(B20&lt;&gt;"",1,0))+(IF(B21&lt;&gt;"",1,0))+(IF(B24&lt;&gt;"",1,0))+(IF(B25&lt;&gt;"",1,0))+(IF(B26&lt;&gt;"",1,0))+(IF(B27&lt;&gt;"",1,0))+(IF(B28&lt;&gt;"",1,0))+(IF(B29&lt;&gt;"",1,0))+(IF(B32&lt;&gt;"",1,0))+(IF(B33&lt;&gt;"",1,0))+(IF(B34&lt;&gt;"",1,0))+(IF(B35&lt;&gt;"",1,0))+(IF(B36&lt;&gt;"",1,0))+(IF(B37&lt;&gt;"",1,0))),0)&gt;=0.9,"✓ ممتاز",IF(IFERROR((COUNTIF(B9,"نعم")+COUNTIF(B10,"نعم")+COUNTIF(B11,"نعم")+COUNTIF(B12,"نعم")+COUNTIF(B13,"نعم")+COUNTIF(B14,"نعم")+COUNTIF(B17,"نعم")+COUNTIF(B18,"نعم")+COUNTIF(B19,"نعم")+COUNTIF(B20,"نعم")+COUNTIF(B21,"نعم")+COUNTIF(B24,"نعم")+COUNTIF(B25,"نعم")+COUNTIF(B26,"نعم")+COUNTIF(B27,"نعم")+COUNTIF(B28,"نعم")+COUNTIF(B29,"نعم")+COUNTIF(B32,"نعم")+COUNTIF(B33,"نعم")+COUNTIF(B34,"نعم")+COUNTIF(B35,"نعم")+COUNTIF(B36,"نعم")+COUNTIF(B37,"نعم"))/((IF(B9&lt;&gt;"",1,0))+(IF(B10&lt;&gt;"",1,0))+(IF(B11&lt;&gt;"",1,0))+(IF(B12&lt;&gt;"",1,0))+(IF(B13&lt;&gt;"",1,0))+(IF(B14&lt;&gt;"",1,0))+(IF(B17&lt;&gt;"",1,0))+(IF(B18&lt;&gt;"",1,0))+(IF(B19&lt;&gt;"",1,0))+(IF(B20&lt;&gt;"",1,0))+(IF(B21&lt;&gt;"",1,0))+(IF(B24&lt;&gt;"",1,0))+(IF(B25&lt;&gt;"",1,0))+(IF(B26&lt;&gt;"",1,0))+(IF(B27&lt;&gt;"",1,0))+(IF(B28&lt;&gt;"",1,0))+(IF(B29&lt;&gt;"",1,0))+(IF(B32&lt;&gt;"",1,0))+(IF(B33&lt;&gt;"",1,0))+(IF(B34&lt;&gt;"",1,0))+(IF(B35&lt;&gt;"",1,0))+(IF(B36&lt;&gt;"",1,0))+(IF(B37&lt;&gt;"",1,0))),0)&gt;=0.75,"⚠ جيد – يحتاج متابعة","✗ يحتاج تدخل فوري"))</f>
        <v>✗ يحتاج تدخل فوري</v>
      </c>
      <c r="F5" s="7"/>
    </row>
    <row r="6" customFormat="false" ht="24" hidden="false" customHeight="true" outlineLevel="0" collapsed="false">
      <c r="A6" s="8" t="s">
        <v>9</v>
      </c>
      <c r="B6" s="8" t="s">
        <v>10</v>
      </c>
      <c r="C6" s="8" t="s">
        <v>11</v>
      </c>
      <c r="D6" s="8" t="s">
        <v>12</v>
      </c>
      <c r="E6" s="8" t="s">
        <v>13</v>
      </c>
      <c r="F6" s="8" t="s">
        <v>14</v>
      </c>
    </row>
    <row r="7" customFormat="false" ht="13.5" hidden="false" customHeight="true" outlineLevel="0" collapsed="false">
      <c r="A7" s="9" t="s">
        <v>15</v>
      </c>
      <c r="B7" s="9"/>
      <c r="C7" s="9"/>
      <c r="D7" s="9"/>
      <c r="E7" s="9"/>
      <c r="F7" s="9"/>
    </row>
    <row r="8" customFormat="false" ht="19.5" hidden="false" customHeight="true" outlineLevel="0" collapsed="false">
      <c r="A8" s="10" t="s">
        <v>16</v>
      </c>
      <c r="B8" s="10"/>
      <c r="C8" s="10"/>
      <c r="D8" s="10"/>
      <c r="E8" s="10"/>
      <c r="F8" s="10"/>
    </row>
    <row r="9" customFormat="false" ht="27.75" hidden="false" customHeight="true" outlineLevel="0" collapsed="false">
      <c r="A9" s="11" t="s">
        <v>17</v>
      </c>
      <c r="B9" s="12"/>
      <c r="C9" s="11"/>
      <c r="D9" s="11"/>
      <c r="E9" s="13"/>
      <c r="F9" s="13"/>
    </row>
    <row r="10" customFormat="false" ht="27.75" hidden="false" customHeight="true" outlineLevel="0" collapsed="false">
      <c r="A10" s="14" t="s">
        <v>18</v>
      </c>
      <c r="B10" s="15"/>
      <c r="C10" s="14"/>
      <c r="D10" s="14"/>
      <c r="E10" s="16"/>
      <c r="F10" s="16"/>
    </row>
    <row r="11" customFormat="false" ht="27.75" hidden="false" customHeight="true" outlineLevel="0" collapsed="false">
      <c r="A11" s="11" t="s">
        <v>19</v>
      </c>
      <c r="B11" s="12"/>
      <c r="C11" s="11"/>
      <c r="D11" s="11"/>
      <c r="E11" s="13"/>
      <c r="F11" s="13"/>
    </row>
    <row r="12" customFormat="false" ht="27.75" hidden="false" customHeight="true" outlineLevel="0" collapsed="false">
      <c r="A12" s="14" t="s">
        <v>20</v>
      </c>
      <c r="B12" s="15"/>
      <c r="C12" s="14"/>
      <c r="D12" s="14"/>
      <c r="E12" s="16"/>
      <c r="F12" s="16"/>
    </row>
    <row r="13" customFormat="false" ht="27.75" hidden="false" customHeight="true" outlineLevel="0" collapsed="false">
      <c r="A13" s="11" t="s">
        <v>21</v>
      </c>
      <c r="B13" s="12"/>
      <c r="C13" s="11"/>
      <c r="D13" s="11"/>
      <c r="E13" s="13"/>
      <c r="F13" s="13"/>
    </row>
    <row r="14" customFormat="false" ht="27.75" hidden="false" customHeight="true" outlineLevel="0" collapsed="false">
      <c r="A14" s="14" t="s">
        <v>22</v>
      </c>
      <c r="B14" s="15"/>
      <c r="C14" s="14"/>
      <c r="D14" s="14"/>
      <c r="E14" s="16"/>
      <c r="F14" s="16"/>
    </row>
    <row r="15" customFormat="false" ht="15.75" hidden="false" customHeight="true" outlineLevel="0" collapsed="false">
      <c r="A15" s="17" t="s">
        <v>23</v>
      </c>
      <c r="B15" s="18" t="n">
        <f aca="false">IFERROR(COUNTIF(B9:B14,"نعم")/COUNTA(B9:B14),0)</f>
        <v>0</v>
      </c>
      <c r="C15" s="18"/>
      <c r="D15" s="18"/>
      <c r="E15" s="18"/>
      <c r="F15" s="18"/>
    </row>
    <row r="16" customFormat="false" ht="19.5" hidden="false" customHeight="true" outlineLevel="0" collapsed="false">
      <c r="A16" s="19" t="s">
        <v>24</v>
      </c>
      <c r="B16" s="19"/>
      <c r="C16" s="19"/>
      <c r="D16" s="19"/>
      <c r="E16" s="19"/>
      <c r="F16" s="19"/>
    </row>
    <row r="17" customFormat="false" ht="27.75" hidden="false" customHeight="true" outlineLevel="0" collapsed="false">
      <c r="A17" s="11" t="s">
        <v>25</v>
      </c>
      <c r="B17" s="12"/>
      <c r="C17" s="11"/>
      <c r="D17" s="11"/>
      <c r="E17" s="13"/>
      <c r="F17" s="13"/>
    </row>
    <row r="18" customFormat="false" ht="27.75" hidden="false" customHeight="true" outlineLevel="0" collapsed="false">
      <c r="A18" s="14" t="s">
        <v>26</v>
      </c>
      <c r="B18" s="15"/>
      <c r="C18" s="14"/>
      <c r="D18" s="14"/>
      <c r="E18" s="16"/>
      <c r="F18" s="16"/>
    </row>
    <row r="19" customFormat="false" ht="27.75" hidden="false" customHeight="true" outlineLevel="0" collapsed="false">
      <c r="A19" s="11" t="s">
        <v>27</v>
      </c>
      <c r="B19" s="12"/>
      <c r="C19" s="11"/>
      <c r="D19" s="11"/>
      <c r="E19" s="13"/>
      <c r="F19" s="13"/>
    </row>
    <row r="20" customFormat="false" ht="27.75" hidden="false" customHeight="true" outlineLevel="0" collapsed="false">
      <c r="A20" s="14" t="s">
        <v>28</v>
      </c>
      <c r="B20" s="15"/>
      <c r="C20" s="14"/>
      <c r="D20" s="14"/>
      <c r="E20" s="16"/>
      <c r="F20" s="16"/>
    </row>
    <row r="21" customFormat="false" ht="27.75" hidden="false" customHeight="true" outlineLevel="0" collapsed="false">
      <c r="A21" s="11" t="s">
        <v>29</v>
      </c>
      <c r="B21" s="12"/>
      <c r="C21" s="11"/>
      <c r="D21" s="11"/>
      <c r="E21" s="13"/>
      <c r="F21" s="13"/>
    </row>
    <row r="22" customFormat="false" ht="15.75" hidden="false" customHeight="true" outlineLevel="0" collapsed="false">
      <c r="A22" s="17" t="s">
        <v>23</v>
      </c>
      <c r="B22" s="18" t="n">
        <f aca="false">IFERROR(COUNTIF(B17:B21,"نعم")/COUNTA(B17:B21),0)</f>
        <v>0</v>
      </c>
      <c r="C22" s="18"/>
      <c r="D22" s="18"/>
      <c r="E22" s="18"/>
      <c r="F22" s="18"/>
    </row>
    <row r="23" customFormat="false" ht="19.5" hidden="false" customHeight="true" outlineLevel="0" collapsed="false">
      <c r="A23" s="20" t="s">
        <v>30</v>
      </c>
      <c r="B23" s="20"/>
      <c r="C23" s="20"/>
      <c r="D23" s="20"/>
      <c r="E23" s="20"/>
      <c r="F23" s="20"/>
    </row>
    <row r="24" customFormat="false" ht="27.75" hidden="false" customHeight="true" outlineLevel="0" collapsed="false">
      <c r="A24" s="14" t="s">
        <v>31</v>
      </c>
      <c r="B24" s="15"/>
      <c r="C24" s="14"/>
      <c r="D24" s="14"/>
      <c r="E24" s="16"/>
      <c r="F24" s="16"/>
    </row>
    <row r="25" customFormat="false" ht="27.75" hidden="false" customHeight="true" outlineLevel="0" collapsed="false">
      <c r="A25" s="11" t="s">
        <v>32</v>
      </c>
      <c r="B25" s="12"/>
      <c r="C25" s="11"/>
      <c r="D25" s="11"/>
      <c r="E25" s="13"/>
      <c r="F25" s="13"/>
    </row>
    <row r="26" customFormat="false" ht="27.75" hidden="false" customHeight="true" outlineLevel="0" collapsed="false">
      <c r="A26" s="14" t="s">
        <v>33</v>
      </c>
      <c r="B26" s="15"/>
      <c r="C26" s="14"/>
      <c r="D26" s="14"/>
      <c r="E26" s="16"/>
      <c r="F26" s="16"/>
    </row>
    <row r="27" customFormat="false" ht="27.75" hidden="false" customHeight="true" outlineLevel="0" collapsed="false">
      <c r="A27" s="11" t="s">
        <v>34</v>
      </c>
      <c r="B27" s="12"/>
      <c r="C27" s="11"/>
      <c r="D27" s="11"/>
      <c r="E27" s="13"/>
      <c r="F27" s="13"/>
    </row>
    <row r="28" customFormat="false" ht="27.75" hidden="false" customHeight="true" outlineLevel="0" collapsed="false">
      <c r="A28" s="14" t="s">
        <v>35</v>
      </c>
      <c r="B28" s="15"/>
      <c r="C28" s="14"/>
      <c r="D28" s="14"/>
      <c r="E28" s="16"/>
      <c r="F28" s="16"/>
    </row>
    <row r="29" customFormat="false" ht="27.75" hidden="false" customHeight="true" outlineLevel="0" collapsed="false">
      <c r="A29" s="11" t="s">
        <v>36</v>
      </c>
      <c r="B29" s="12"/>
      <c r="C29" s="11"/>
      <c r="D29" s="11"/>
      <c r="E29" s="13"/>
      <c r="F29" s="13"/>
    </row>
    <row r="30" customFormat="false" ht="15.75" hidden="false" customHeight="true" outlineLevel="0" collapsed="false">
      <c r="A30" s="17" t="s">
        <v>23</v>
      </c>
      <c r="B30" s="18" t="n">
        <f aca="false">IFERROR(COUNTIF(B24:B29,"نعم")/COUNTA(B24:B29),0)</f>
        <v>0</v>
      </c>
      <c r="C30" s="18"/>
      <c r="D30" s="18"/>
      <c r="E30" s="18"/>
      <c r="F30" s="18"/>
    </row>
    <row r="31" customFormat="false" ht="19.5" hidden="false" customHeight="true" outlineLevel="0" collapsed="false">
      <c r="A31" s="21" t="s">
        <v>37</v>
      </c>
      <c r="B31" s="21"/>
      <c r="C31" s="21"/>
      <c r="D31" s="21"/>
      <c r="E31" s="21"/>
      <c r="F31" s="21"/>
    </row>
    <row r="32" customFormat="false" ht="27.75" hidden="false" customHeight="true" outlineLevel="0" collapsed="false">
      <c r="A32" s="14" t="s">
        <v>38</v>
      </c>
      <c r="B32" s="15"/>
      <c r="C32" s="14"/>
      <c r="D32" s="14"/>
      <c r="E32" s="16"/>
      <c r="F32" s="16"/>
    </row>
    <row r="33" customFormat="false" ht="27.75" hidden="false" customHeight="true" outlineLevel="0" collapsed="false">
      <c r="A33" s="11" t="s">
        <v>39</v>
      </c>
      <c r="B33" s="12"/>
      <c r="C33" s="11"/>
      <c r="D33" s="11"/>
      <c r="E33" s="13"/>
      <c r="F33" s="13"/>
    </row>
    <row r="34" customFormat="false" ht="27.75" hidden="false" customHeight="true" outlineLevel="0" collapsed="false">
      <c r="A34" s="14" t="s">
        <v>40</v>
      </c>
      <c r="B34" s="15"/>
      <c r="C34" s="14"/>
      <c r="D34" s="14"/>
      <c r="E34" s="16"/>
      <c r="F34" s="16"/>
    </row>
    <row r="35" customFormat="false" ht="27.75" hidden="false" customHeight="true" outlineLevel="0" collapsed="false">
      <c r="A35" s="11" t="s">
        <v>41</v>
      </c>
      <c r="B35" s="12"/>
      <c r="C35" s="11"/>
      <c r="D35" s="11"/>
      <c r="E35" s="13"/>
      <c r="F35" s="13"/>
    </row>
    <row r="36" customFormat="false" ht="27.75" hidden="false" customHeight="true" outlineLevel="0" collapsed="false">
      <c r="A36" s="14" t="s">
        <v>42</v>
      </c>
      <c r="B36" s="15"/>
      <c r="C36" s="14"/>
      <c r="D36" s="14"/>
      <c r="E36" s="16"/>
      <c r="F36" s="16"/>
    </row>
    <row r="37" customFormat="false" ht="27.75" hidden="false" customHeight="true" outlineLevel="0" collapsed="false">
      <c r="A37" s="11" t="s">
        <v>43</v>
      </c>
      <c r="B37" s="12"/>
      <c r="C37" s="11"/>
      <c r="D37" s="11"/>
      <c r="E37" s="13"/>
      <c r="F37" s="13"/>
    </row>
    <row r="38" customFormat="false" ht="15.75" hidden="false" customHeight="true" outlineLevel="0" collapsed="false">
      <c r="A38" s="17" t="s">
        <v>23</v>
      </c>
      <c r="B38" s="18" t="n">
        <f aca="false">IFERROR(COUNTIF(B32:B37,"نعم")/COUNTA(B32:B37),0)</f>
        <v>0</v>
      </c>
      <c r="C38" s="18"/>
      <c r="D38" s="18"/>
      <c r="E38" s="18"/>
      <c r="F38" s="18"/>
    </row>
    <row r="39" customFormat="false" ht="19.5" hidden="false" customHeight="true" outlineLevel="0" collapsed="false">
      <c r="A39" s="22" t="s">
        <v>44</v>
      </c>
      <c r="B39" s="22"/>
      <c r="C39" s="22"/>
      <c r="D39" s="22"/>
      <c r="E39" s="22"/>
      <c r="F39" s="22"/>
    </row>
    <row r="40" customFormat="false" ht="27.75" hidden="false" customHeight="true" outlineLevel="0" collapsed="false">
      <c r="A40" s="23" t="s">
        <v>45</v>
      </c>
      <c r="B40" s="23"/>
      <c r="C40" s="24"/>
      <c r="D40" s="24"/>
      <c r="E40" s="24"/>
      <c r="F40" s="24"/>
    </row>
    <row r="41" customFormat="false" ht="27.75" hidden="false" customHeight="true" outlineLevel="0" collapsed="false">
      <c r="A41" s="23" t="s">
        <v>46</v>
      </c>
      <c r="B41" s="23"/>
      <c r="C41" s="24"/>
      <c r="D41" s="24"/>
      <c r="E41" s="24"/>
      <c r="F41" s="24"/>
    </row>
    <row r="42" customFormat="false" ht="27.75" hidden="false" customHeight="true" outlineLevel="0" collapsed="false">
      <c r="A42" s="23" t="s">
        <v>47</v>
      </c>
      <c r="B42" s="23"/>
      <c r="C42" s="24"/>
      <c r="D42" s="24"/>
      <c r="E42" s="24"/>
      <c r="F42" s="24"/>
    </row>
    <row r="43" customFormat="false" ht="27.75" hidden="false" customHeight="true" outlineLevel="0" collapsed="false">
      <c r="A43" s="23" t="s">
        <v>48</v>
      </c>
      <c r="B43" s="23"/>
      <c r="C43" s="24"/>
      <c r="D43" s="24"/>
      <c r="E43" s="24"/>
      <c r="F43" s="24"/>
    </row>
    <row r="44" customFormat="false" ht="13.5" hidden="false" customHeight="true" outlineLevel="0" collapsed="false">
      <c r="A44" s="25" t="s">
        <v>49</v>
      </c>
      <c r="B44" s="25"/>
      <c r="C44" s="25"/>
      <c r="D44" s="25"/>
      <c r="E44" s="25"/>
      <c r="F44" s="25"/>
    </row>
    <row r="45" customFormat="false" ht="18" hidden="false" customHeight="true" outlineLevel="0" collapsed="false">
      <c r="A45" s="26" t="s">
        <v>50</v>
      </c>
      <c r="B45" s="26" t="s">
        <v>3</v>
      </c>
      <c r="C45" s="26" t="s">
        <v>51</v>
      </c>
      <c r="D45" s="26" t="s">
        <v>52</v>
      </c>
      <c r="E45" s="26"/>
      <c r="F45" s="26" t="s">
        <v>4</v>
      </c>
    </row>
    <row r="46" customFormat="false" ht="36" hidden="false" customHeight="true" outlineLevel="0" collapsed="false">
      <c r="A46" s="4"/>
      <c r="B46" s="4"/>
      <c r="C46" s="4"/>
      <c r="D46" s="4"/>
      <c r="E46" s="4"/>
      <c r="F46" s="4"/>
    </row>
  </sheetData>
  <mergeCells count="24">
    <mergeCell ref="A1:F1"/>
    <mergeCell ref="A2:F2"/>
    <mergeCell ref="A5:B5"/>
    <mergeCell ref="C5:D5"/>
    <mergeCell ref="E5:F5"/>
    <mergeCell ref="A7:F7"/>
    <mergeCell ref="A8:F8"/>
    <mergeCell ref="B15:F15"/>
    <mergeCell ref="A16:F16"/>
    <mergeCell ref="B22:F22"/>
    <mergeCell ref="A23:F23"/>
    <mergeCell ref="B30:F30"/>
    <mergeCell ref="A31:F31"/>
    <mergeCell ref="B38:F38"/>
    <mergeCell ref="A39:F39"/>
    <mergeCell ref="A40:B40"/>
    <mergeCell ref="C40:F40"/>
    <mergeCell ref="A41:B41"/>
    <mergeCell ref="C41:F41"/>
    <mergeCell ref="A42:B42"/>
    <mergeCell ref="C42:F42"/>
    <mergeCell ref="A43:B43"/>
    <mergeCell ref="C43:F43"/>
    <mergeCell ref="A44:F44"/>
  </mergeCells>
  <conditionalFormatting sqref="B8:B43">
    <cfRule type="cellIs" priority="2" operator="equal" aboveAverage="0" equalAverage="0" bottom="0" percent="0" rank="0" text="" dxfId="0">
      <formula>"لا"</formula>
    </cfRule>
    <cfRule type="cellIs" priority="3" operator="equal" aboveAverage="0" equalAverage="0" bottom="0" percent="0" rank="0" text="" dxfId="1">
      <formula>"نعم"</formula>
    </cfRule>
  </conditionalFormatting>
  <dataValidations count="1">
    <dataValidation allowBlank="false" errorStyle="stop" operator="between" showDropDown="false" showErrorMessage="true" showInputMessage="false" sqref="B8:B46" type="list">
      <formula1>"نعم,لا,لا ينطبق"</formula1>
      <formula2>0</formula2>
    </dataValidation>
  </dataValidations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2026-04-16T08:59:31Z</dcterms:created>
  <dc:creator>openpyxl</dc:creator>
  <dc:description/>
  <dc:language>en-US</dc:language>
  <cp:lastModifiedBy/>
  <dcterms:modified xsi:type="dcterms:W3CDTF">2026-04-16T08:59:31Z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