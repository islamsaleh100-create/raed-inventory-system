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ssues Report" sheetId="1" state="visible" r:id="rId3"/>
    <sheet name="Read Me" sheetId="2" state="visible" r:id="rId4"/>
    <sheet name="Key Decisions" sheetId="3" state="visible" r:id="rId5"/>
    <sheet name="Overview" sheetId="4" state="visible" r:id="rId6"/>
    <sheet name="Backlo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<sst xmlns="http://schemas.openxmlformats.org/spreadsheetml/2006/main" count="2049" uniqueCount="1123">
  <si>
    <t xml:space="preserve">Warehouse-First Platform – Issues Report &amp; Resolution Plan</t>
  </si>
  <si>
    <t xml:space="preserve">بيان شامل بالمشكلات المكتشفة في warehouse_platform_backlog_v3.xlsx — مع تصنيفها وخطة المعالجة</t>
  </si>
  <si>
    <t xml:space="preserve">ملخص تنفيذي</t>
  </si>
  <si>
    <t xml:space="preserve">إجمالي المشكلات</t>
  </si>
  <si>
    <t xml:space="preserve">🔴 Critical</t>
  </si>
  <si>
    <t xml:space="preserve">🟠 High</t>
  </si>
  <si>
    <t xml:space="preserve">🟡 Medium</t>
  </si>
  <si>
    <t xml:space="preserve">🟢 Low</t>
  </si>
  <si>
    <t xml:space="preserve">Open</t>
  </si>
  <si>
    <t xml:space="preserve">Resolved</t>
  </si>
  <si>
    <t xml:space="preserve">Issue ID</t>
  </si>
  <si>
    <t xml:space="preserve">Category</t>
  </si>
  <si>
    <t xml:space="preserve">Severity</t>
  </si>
  <si>
    <t xml:space="preserve">Issue Title</t>
  </si>
  <si>
    <t xml:space="preserve">Detail</t>
  </si>
  <si>
    <t xml:space="preserve">Impact</t>
  </si>
  <si>
    <t xml:space="preserve">Fix Effort</t>
  </si>
  <si>
    <t xml:space="preserve">Fix Suggestion</t>
  </si>
  <si>
    <t xml:space="preserve">Owner</t>
  </si>
  <si>
    <t xml:space="preserve">Status</t>
  </si>
  <si>
    <t xml:space="preserve">  بنية الملف (Excel Structure)</t>
  </si>
  <si>
    <t xml:space="preserve">A-01</t>
  </si>
  <si>
    <t xml:space="preserve">بنية الملف (Excel Structure)</t>
  </si>
  <si>
    <t xml:space="preserve">لا توجد معادلات (No Formulas)</t>
  </si>
  <si>
    <t xml:space="preserve">كل الأرقام مكتوبة يدويًا: عدد الـ 146 story، الملخصات، وكل إحصائية أخرى.</t>
  </si>
  <si>
    <t xml:space="preserve">أي تعديل لاحق يخلق drift بين الواقع والأرقام الظاهرة في العناوين.</t>
  </si>
  <si>
    <t xml:space="preserve">متوسط</t>
  </si>
  <si>
    <t xml:space="preserve">تحويل جميع العناوين والملخصات إلى معادلات COUNTA/COUNTIF تشير إلى بيانات Backlog مباشرةً.</t>
  </si>
  <si>
    <t xml:space="preserve">—</t>
  </si>
  <si>
    <t xml:space="preserve">A-02</t>
  </si>
  <si>
    <t xml:space="preserve">لا توجد Data Validation</t>
  </si>
  <si>
    <t xml:space="preserve">أعمدة Issue Type, Delivery Type, Priority, Estimate ليس عليها قوائم منسدلة أو قيود إدخال.</t>
  </si>
  <si>
    <t xml:space="preserve">أي شخص يستطيع كتابة قيمة خاطئة بحرية كاملة؛ يضعف موثوقية الفرز والتصفية.</t>
  </si>
  <si>
    <t xml:space="preserve">إضافة Data Validation بقوائم منسدلة (Lists) لكل عمود حرج، مع رسالة خطأ واضحة.</t>
  </si>
  <si>
    <t xml:space="preserve">A-03</t>
  </si>
  <si>
    <t xml:space="preserve">لا توجد Excel Tables</t>
  </si>
  <si>
    <t xml:space="preserve">Backlog مجرد نطاق خلايا منسق يدويًا، وليس Table رسمية.</t>
  </si>
  <si>
    <t xml:space="preserve">يضعف الفرز، التصفية، التوسعة التلقائية، والتعامل مع الملف كأداة تشغيل.</t>
  </si>
  <si>
    <t xml:space="preserve">سريع</t>
  </si>
  <si>
    <t xml:space="preserve">تحويل نطاق Backlog إلى Table رسمية (Insert → Table) مع اسم منطقي مثل tblBacklog.</t>
  </si>
  <si>
    <t xml:space="preserve">A-04</t>
  </si>
  <si>
    <t xml:space="preserve">لا توجد Auto Filter</t>
  </si>
  <si>
    <t xml:space="preserve">لا يوجد فلتر في أي شيت، بما في ذلك Backlog الرئيسي.</t>
  </si>
  <si>
    <t xml:space="preserve">يجعل التصفية اليومية بطيئة ومؤلمة للمستخدم.</t>
  </si>
  <si>
    <t xml:space="preserve">تفعيل Auto Filter على صف Header في Backlog وOverview على الأقل.</t>
  </si>
  <si>
    <t xml:space="preserve">A-05</t>
  </si>
  <si>
    <t xml:space="preserve">لا توجد Conditional Formatting</t>
  </si>
  <si>
    <t xml:space="preserve">الألوان الحالية ثابتة يدويًا فقط وليست ناتجة عن قواعد ديناميكية.</t>
  </si>
  <si>
    <t xml:space="preserve">أي تعديل للقيم لن يغير الألوان تلقائيًا، فيبقى اللون الخاطئ ظاهرًا.</t>
  </si>
  <si>
    <t xml:space="preserve">إضافة قواعد Conditional Formatting لـ Priority (P0=أحمر، P1=برتقالي، P2=أصفر) وEstimate.</t>
  </si>
  <si>
    <t xml:space="preserve">A-06</t>
  </si>
  <si>
    <t xml:space="preserve">لا توجد Sheet Protection</t>
  </si>
  <si>
    <t xml:space="preserve">كل الشيتات قابلة للتعديل الكامل بدون أي حماية.</t>
  </si>
  <si>
    <t xml:space="preserve">خطر تعديل عرضي للهيكل أو العناوين أو القيم المرجعية في ملف مرجع رسمي.</t>
  </si>
  <si>
    <t xml:space="preserve">حماية شيتات Read Me وOverview وKey Decisions من التعديل، مع السماح للـ Backlog.</t>
  </si>
  <si>
    <t xml:space="preserve">A-07</t>
  </si>
  <si>
    <t xml:space="preserve">لا توجد Defined Names</t>
  </si>
  <si>
    <t xml:space="preserve">لا توجد Named Ranges أو Defined Names داخل الـ Workbook.</t>
  </si>
  <si>
    <t xml:space="preserve">يصعّب كتابة معادلات قابلة للقراءة ويؤكد الطابع اليدوي للملف.</t>
  </si>
  <si>
    <t xml:space="preserve">تعريف Names للنطاقات الرئيسية مثل Backlog_Priority وBacklog_Estimate وBacklog_Epic.</t>
  </si>
  <si>
    <t xml:space="preserve">A-08</t>
  </si>
  <si>
    <t xml:space="preserve">خصائص Metadata شبه فارغة</t>
  </si>
  <si>
    <t xml:space="preserve">creator=openpyxl, title=None, subject=None, description=None, keywords=None, revision=0.</t>
  </si>
  <si>
    <t xml:space="preserve">يضعف traceability والاعتماد الرسمي للملف في بيئة مؤسسية.</t>
  </si>
  <si>
    <t xml:space="preserve">تحديث خصائص الملف: Title, Subject, Author, Keywords, Description.</t>
  </si>
  <si>
    <t xml:space="preserve">A-09</t>
  </si>
  <si>
    <t xml:space="preserve">لا توجد إعدادات طباعة (Print Setup)</t>
  </si>
  <si>
    <t xml:space="preserve">لا توجد Print Titles، لا Print Area، ولا إعدادات Page Layout.</t>
  </si>
  <si>
    <t xml:space="preserve">عند طباعة الملف أو تصديره PDF تخرج الصفحات بدون headers وبتنسيق غير مقبول.</t>
  </si>
  <si>
    <t xml:space="preserve">تحديد Print Area وإضافة Print Titles (صفوف العناوين) في Backlog وOverview.</t>
  </si>
  <si>
    <t xml:space="preserve">A-10</t>
  </si>
  <si>
    <t xml:space="preserve">لا توجد Hyperlinks أو Comments توضيحية</t>
  </si>
  <si>
    <t xml:space="preserve">لا توجد روابط داخلية أو تعليقات على خلايا حساسة أو مفاهيم تحتاج توضيحًا.</t>
  </si>
  <si>
    <t xml:space="preserve">يجبر القارئ على البحث خارج الملف عن السياق.</t>
  </si>
  <si>
    <t xml:space="preserve">إضافة Comments على Acceptance Criteria المعقدة وروابط بين Overview وأول صف كل Epic.</t>
  </si>
  <si>
    <t xml:space="preserve">  جاهزية Jira</t>
  </si>
  <si>
    <t xml:space="preserve">B-01</t>
  </si>
  <si>
    <t xml:space="preserve">جاهزية Jira</t>
  </si>
  <si>
    <t xml:space="preserve">الصف الأول ليس Header (Jira CSV Issue)</t>
  </si>
  <si>
    <t xml:space="preserve">الصف 1 في Backlog عنوان مدموج (A1:K1)، والـ Header الحقيقي في الصف 2.</t>
  </si>
  <si>
    <t xml:space="preserve">أي استيراد مباشر لـ Jira أو أداة مماثلة ستفشل أو تستورد البيانات بشكل خاطئ.</t>
  </si>
  <si>
    <t xml:space="preserve">فصل عنوان الشيت عن صف الـ Headers أو توفير نسخة Export-Ready مخصصة للاستيراد.</t>
  </si>
  <si>
    <t xml:space="preserve">B-02</t>
  </si>
  <si>
    <t xml:space="preserve">عنوان 'Full Jira-Ready' غير دقيق تقنيًا</t>
  </si>
  <si>
    <t xml:space="preserve">العنوان يقول Full Jira-Ready Backlog لكن الملف يفتقد: header في أول صف، validations، normalized deps، tables.</t>
  </si>
  <si>
    <t xml:space="preserve">يخلق توقعات خاطئة عند الاستخدام الفعلي.</t>
  </si>
  <si>
    <t xml:space="preserve">تغيير العنوان إلى 'Structured Backlog — Requires Export Processing for Jira Import'.</t>
  </si>
  <si>
    <t xml:space="preserve">B-03</t>
  </si>
  <si>
    <t xml:space="preserve">Priority وDelivery Type يكرران بعضهما</t>
  </si>
  <si>
    <t xml:space="preserve">المصفوفة: P0/P1=MVP، P2=Nice-to-have. أي أن Priority لا يضيف بُعدًا مستقلًا.</t>
  </si>
  <si>
    <t xml:space="preserve">يضاعف البيانات بدون قيمة تحليلية إضافية حقيقية.</t>
  </si>
  <si>
    <t xml:space="preserve">إما إزالة أحد العمودين أو إعادة تعريف معيار Priority بشكل مستقل عن Delivery Type.</t>
  </si>
  <si>
    <t xml:space="preserve">  الاعتماديات (Dependencies)</t>
  </si>
  <si>
    <t xml:space="preserve">C-01</t>
  </si>
  <si>
    <t xml:space="preserve">الاعتماديات (Dependencies)</t>
  </si>
  <si>
    <t xml:space="preserve">دوائر اعتماد (Circular Dependencies)</t>
  </si>
  <si>
    <t xml:space="preserve">E03-009 يعتمد على Epic 4 بينما Epic 4 يعتمد على Epic 3.
E05-002/E05-004 يعتمدان على Epic 11 بينما Epic 11 يعتمد على Epic 5.
E07-008 يعتمد على Epic 10 بينما Epic 10 يعتمد على Epic 7.</t>
  </si>
  <si>
    <t xml:space="preserve">تخلق deadlock منطقي في التخطيط التنفيذي وتمنع بناء خطة تسليم خطية.</t>
  </si>
  <si>
    <t xml:space="preserve">عالي</t>
  </si>
  <si>
    <t xml:space="preserve">مراجعة وفك كل دائرة اعتماد: تحديد أي dependency هو partial/optional وتوثيقه صراحةً.</t>
  </si>
  <si>
    <t xml:space="preserve">C-02</t>
  </si>
  <si>
    <t xml:space="preserve">Dependencies على Epics لاحقة بدون توضيح</t>
  </si>
  <si>
    <t xml:space="preserve">مثال: E02-011 يعتمد على Epic 3، E04-013 يعتمد على Epic 10، E03-012 يعتمد على Epic 7.</t>
  </si>
  <si>
    <t xml:space="preserve">يبدو كتضارب في التسلسل ويصعّب على الفريق فهم خطة التنفيذ.</t>
  </si>
  <si>
    <t xml:space="preserve">إضافة عمود 'Dependency Type' بقيم: Blocks / Partial / Optional / External.</t>
  </si>
  <si>
    <t xml:space="preserve">C-03</t>
  </si>
  <si>
    <t xml:space="preserve">عمود Dependencies غير موحد (97 صيغة مختلفة)</t>
  </si>
  <si>
    <t xml:space="preserve">يحتوي على: Story IDs، أسماء Epics، مفاهيم عامة، مراجع جزئية، عبارات بشرية.</t>
  </si>
  <si>
    <t xml:space="preserve">غير صالح كاعتمادية قابلة للإدارة أو كمدخل منظم لـ Jira.</t>
  </si>
  <si>
    <t xml:space="preserve">توحيد الصيغة: استخدام Story IDs فقط (E01-001) مع فصل بفاصلة. نقل الشرح إلى عمود Notes.</t>
  </si>
  <si>
    <t xml:space="preserve">C-04</t>
  </si>
  <si>
    <t xml:space="preserve">Dependencies غامضة وغير قابلة للتتبع</t>
  </si>
  <si>
    <t xml:space="preserve">مثال: 'All above', 'Epic 2 MVP', 'Count workflow', 'Daily count workflow', 'Epic 10 partial'.</t>
  </si>
  <si>
    <t xml:space="preserve">لا يمكن تتبعها أو تحويلها لـ Jira links، تصبح dead weight أثناء التنفيذ.</t>
  </si>
  <si>
    <t xml:space="preserve">استبدال كل عبارة غامضة بـ Story ID محدد أو حذفها والإشارة إلى Epic في عمود Notes.</t>
  </si>
  <si>
    <t xml:space="preserve">  الأولويات والتقديرات</t>
  </si>
  <si>
    <t xml:space="preserve">D-01</t>
  </si>
  <si>
    <t xml:space="preserve">الأولويات والتقديرات</t>
  </si>
  <si>
    <t xml:space="preserve">P0 متضخمة (61% من الـ Backlog)</t>
  </si>
  <si>
    <t xml:space="preserve">التوزيع الفعلي: P0=89 (61%)، P1=16 (11%)، P2=41 (28%).</t>
  </si>
  <si>
    <t xml:space="preserve">P0 تفقد معناها كـ blocker حقيقي عندما تشمل أكثر من نصف المشروع.</t>
  </si>
  <si>
    <t xml:space="preserve">إعادة تعريف P0 كـ 'blocker for MVP go-live' فقط. الهدف: P0 ≤ 30% من الـ Backlog.</t>
  </si>
  <si>
    <t xml:space="preserve">D-02</t>
  </si>
  <si>
    <t xml:space="preserve">P0 متضخمة في Epics محددة</t>
  </si>
  <si>
    <t xml:space="preserve">Epic 3: 9/12 بـ P0 (75%). Epic 4: 10/13 (77%). Epic 9: 8/11 (73%).</t>
  </si>
  <si>
    <t xml:space="preserve">يؤكد أن معيار الـ blocker لم يُشدّ كفاية في هذه المناطق.</t>
  </si>
  <si>
    <t xml:space="preserve">مراجعة كل P0 في هذه الـ Epics: ما الذي يحدث حرفيًا لو أُجّل؟ فقط الإجابة 'MVP يتوقف' تبرر P0.</t>
  </si>
  <si>
    <t xml:space="preserve">D-03</t>
  </si>
  <si>
    <t xml:space="preserve">XS غير مستخدم رغم تعريفه في Read Me</t>
  </si>
  <si>
    <t xml:space="preserve">التوزيع: XS=0، S=29، M=86 (59%)، L=27، XL=4.</t>
  </si>
  <si>
    <t xml:space="preserve">نظام التقدير غير مستخدم بكامل دقته، وبعض المهام الصغيرة قد تكون مندمجة في M.</t>
  </si>
  <si>
    <t xml:space="preserve">مراجعة M stories: أي منها يمكن كسره لـ S أو XS؟ XS = أقل من 3 ساعات تنفيذ.</t>
  </si>
  <si>
    <t xml:space="preserve">D-04</t>
  </si>
  <si>
    <t xml:space="preserve">Timeframes لا تتطابق مع مجموع التقديرات</t>
  </si>
  <si>
    <t xml:space="preserve">مثال: Epic 1 مكتوب 6–8 أسابيع، لكن حساب التقديرات يعطي ≥18 أسبوع لمطور واحد.
Epic 4: مكتوب 5–6 مقابل ≥14.8 أسبوع.</t>
  </si>
  <si>
    <t xml:space="preserve">يسبب سوء فهم إداري خطير إذا قُرئت الـ Timeframes على أنها خطة خطية.</t>
  </si>
  <si>
    <t xml:space="preserve">إضافة ملاحظة صريحة في Overview: 'Timeframes تفترض فريقًا متوازيًا من N أشخاص'.</t>
  </si>
  <si>
    <t xml:space="preserve">  الاتساق والجودة</t>
  </si>
  <si>
    <t xml:space="preserve">E-01</t>
  </si>
  <si>
    <t xml:space="preserve">الاتساق والجودة</t>
  </si>
  <si>
    <t xml:space="preserve">عدم اتساق أسماء Epics بين الشيتات</t>
  </si>
  <si>
    <t xml:space="preserve">مثال: 'Deployment &amp; Core Foundation' (Overview) مقابل 'E1: Core Foundation' (Backlog).
'Advanced Counting' مقابل 'E4: Adv. Counting'.
'Warehouse Workspace' مقابل 'E8: WH Workspace'.</t>
  </si>
  <si>
    <t xml:space="preserve">يربك أي mapping أو reporting أو script يعتمد على اسم الـ Epic.</t>
  </si>
  <si>
    <t xml:space="preserve">توحيد أسماء الـ Epics بصيغة واحدة في كل الشيتات: 'E1: Core Foundation' مثلاً.</t>
  </si>
  <si>
    <t xml:space="preserve">E-02</t>
  </si>
  <si>
    <t xml:space="preserve">قواعد Read Me غير Enforced داخل الملف</t>
  </si>
  <si>
    <t xml:space="preserve">الأولويات، التقديرات، Issue Type، Delivery Type كلها موثقة في Read Me لكن غير مقيدة فعليًا.</t>
  </si>
  <si>
    <t xml:space="preserve">القواعد المكتوبة فقط لا تحمي من الأخطاء البشرية.</t>
  </si>
  <si>
    <t xml:space="preserve">ربط كل قاعدة في Read Me بـ Data Validation مقابلة داخل Backlog.</t>
  </si>
  <si>
    <t xml:space="preserve">E-03</t>
  </si>
  <si>
    <t xml:space="preserve">تكرار نصي في Acceptance Criteria</t>
  </si>
  <si>
    <t xml:space="preserve">الجملة 'Table exists with correct schema and indexes.' موجودة مرتين في الملف.</t>
  </si>
  <si>
    <t xml:space="preserve">يدل على أن بعض Acceptance Criteria generic أكثر من اللازم.</t>
  </si>
  <si>
    <t xml:space="preserve">منخفض</t>
  </si>
  <si>
    <t xml:space="preserve">مراجعة وتخصيص Acceptance Criteria المكررة لكل Story بدلاً من نسخها حرفيًا.</t>
  </si>
  <si>
    <t xml:space="preserve">E-04</t>
  </si>
  <si>
    <t xml:space="preserve">مسافة مزدوجة في عنوان Backlog</t>
  </si>
  <si>
    <t xml:space="preserve">النص الحالي: 'Full Jira-Ready Backlog  (146 stories)' — مسافتان قبل القوس.</t>
  </si>
  <si>
    <t xml:space="preserve">خطأ شكلي يقلل الاحترافية في ملف مرجعي رسمي.</t>
  </si>
  <si>
    <t xml:space="preserve">تصحيح المسافة لتصبح مسافة واحدة فقط.</t>
  </si>
  <si>
    <t xml:space="preserve">E-05</t>
  </si>
  <si>
    <t xml:space="preserve">Unicode/Emoji داخل Read Me</t>
  </si>
  <si>
    <t xml:space="preserve">الـ Emoji المستخدمة: 📐 🎯 📦 🚚 🏗 داخل نصوص Read Me.</t>
  </si>
  <si>
    <t xml:space="preserve">قد يسبب تفاوت عرض أو مشاكل توافق في بعض بيئات Windows القديمة أو عند الطباعة.</t>
  </si>
  <si>
    <t xml:space="preserve">استبدال Emoji بنص Unicode آمن أو رموز ASCII بسيطة (→ • ★) للتوافق الكامل.</t>
  </si>
  <si>
    <t xml:space="preserve">E-06</t>
  </si>
  <si>
    <t xml:space="preserve">الشيت النشط عند الفتح هو Read Me وليس Backlog</t>
  </si>
  <si>
    <t xml:space="preserve">الملف يفتح على Read Me كشيت افتراضي.</t>
  </si>
  <si>
    <t xml:space="preserve">ليس مثاليًا إذا كان الملف يُستخدم يوميًا كأداة تشغيل — يضيف click إضافية غير ضرورية.</t>
  </si>
  <si>
    <t xml:space="preserve">تغيير الشيت الافتراضي عند الفتح إلى Backlog أو Overview.</t>
  </si>
  <si>
    <t xml:space="preserve">E-07</t>
  </si>
  <si>
    <t xml:space="preserve">Summaries مكتوبة يدويًا وغير مشتقة من البيانات</t>
  </si>
  <si>
    <t xml:space="preserve">كل الإحصائيات في العناوين مكتوبة manually وليست معادلات.</t>
  </si>
  <si>
    <t xml:space="preserve">أي تعديل للبيانات لن يحدّث الـ Summaries تلقائيًا — يخلق technical debt.</t>
  </si>
  <si>
    <t xml:space="preserve">استبدال كل رقم في العناوين بمعادلات COUNTA/COUNTIF تحسب من Backlog مباشرةً.</t>
  </si>
  <si>
    <t xml:space="preserve">ملاحظة: هذا البيان يُعبّر عن الحالة الراهنة للملف فقط. يجب تحديث عمود Status لكل مشكلة بعد حلها.</t>
  </si>
  <si>
    <t xml:space="preserve">Warehouse-First Platform – Backlog Reference Guide</t>
  </si>
  <si>
    <t xml:space="preserve">📐 Estimate (Story Size)</t>
  </si>
  <si>
    <t xml:space="preserve">XS</t>
  </si>
  <si>
    <t xml:space="preserve">&lt; 2 days</t>
  </si>
  <si>
    <t xml:space="preserve">Quick fix, config change, small addition</t>
  </si>
  <si>
    <t xml:space="preserve">S</t>
  </si>
  <si>
    <t xml:space="preserve">2–3 days</t>
  </si>
  <si>
    <t xml:space="preserve">Focused feature, single screen or endpoint</t>
  </si>
  <si>
    <t xml:space="preserve">M</t>
  </si>
  <si>
    <t xml:space="preserve">1 week</t>
  </si>
  <si>
    <t xml:space="preserve">Multi-step feature with backend + frontend work</t>
  </si>
  <si>
    <t xml:space="preserve">L</t>
  </si>
  <si>
    <t xml:space="preserve">2 weeks</t>
  </si>
  <si>
    <t xml:space="preserve">Complex workflow or module with multiple moving parts</t>
  </si>
  <si>
    <t xml:space="preserve">XL</t>
  </si>
  <si>
    <t xml:space="preserve">&gt; 2 weeks</t>
  </si>
  <si>
    <t xml:space="preserve">Large scope — consider splitting before sprint</t>
  </si>
  <si>
    <t xml:space="preserve">🎯 Priority</t>
  </si>
  <si>
    <t xml:space="preserve">P0</t>
  </si>
  <si>
    <t xml:space="preserve">Epic blocker</t>
  </si>
  <si>
    <t xml:space="preserve">Its absence prevents the Epic from closing or breaks a downstream foundation</t>
  </si>
  <si>
    <t xml:space="preserve">P1</t>
  </si>
  <si>
    <t xml:space="preserve">Important</t>
  </si>
  <si>
    <t xml:space="preserve">Needed within the Epic but can be deferred to a later sprint inside it</t>
  </si>
  <si>
    <t xml:space="preserve">P2</t>
  </si>
  <si>
    <t xml:space="preserve">Nice-to-have</t>
  </si>
  <si>
    <t xml:space="preserve">Enhancement or extension — not required for first close</t>
  </si>
  <si>
    <t xml:space="preserve">📦 Issue Type</t>
  </si>
  <si>
    <t xml:space="preserve">Story</t>
  </si>
  <si>
    <t xml:space="preserve">Business-facing outcome</t>
  </si>
  <si>
    <t xml:space="preserve">User-visible feature, screen, workflow, or API behaviour</t>
  </si>
  <si>
    <t xml:space="preserve">Task</t>
  </si>
  <si>
    <t xml:space="preserve">Technical / internal</t>
  </si>
  <si>
    <t xml:space="preserve">Migration, service layer, infra, middleware, test harness</t>
  </si>
  <si>
    <t xml:space="preserve">🚚 Delivery Type</t>
  </si>
  <si>
    <t xml:space="preserve">MVP</t>
  </si>
  <si>
    <t xml:space="preserve">Required for Epic close</t>
  </si>
  <si>
    <t xml:space="preserve">Must be done before Epic is considered Done</t>
  </si>
  <si>
    <t xml:space="preserve">Optional enhancement</t>
  </si>
  <si>
    <t xml:space="preserve">Valuable but skippable for the first close</t>
  </si>
  <si>
    <t xml:space="preserve">🏗️ Epic Execution Order</t>
  </si>
  <si>
    <t xml:space="preserve">1</t>
  </si>
  <si>
    <t xml:space="preserve">Deployment &amp; Core Foundation</t>
  </si>
  <si>
    <t xml:space="preserve">Most critical — do not skip or rush</t>
  </si>
  <si>
    <t xml:space="preserve">2</t>
  </si>
  <si>
    <t xml:space="preserve">Master Data Expansion</t>
  </si>
  <si>
    <t xml:space="preserve">3</t>
  </si>
  <si>
    <t xml:space="preserve">Inventory Ledger Engine</t>
  </si>
  <si>
    <t xml:space="preserve">Core of everything</t>
  </si>
  <si>
    <t xml:space="preserve">4</t>
  </si>
  <si>
    <t xml:space="preserve">Advanced Counting</t>
  </si>
  <si>
    <t xml:space="preserve">Must precede Replenishment</t>
  </si>
  <si>
    <t xml:space="preserve">5</t>
  </si>
  <si>
    <t xml:space="preserve">Replenishment Workflows</t>
  </si>
  <si>
    <t xml:space="preserve">6</t>
  </si>
  <si>
    <t xml:space="preserve">Transfers</t>
  </si>
  <si>
    <t xml:space="preserve">7</t>
  </si>
  <si>
    <t xml:space="preserve">Procurement</t>
  </si>
  <si>
    <t xml:space="preserve">8</t>
  </si>
  <si>
    <t xml:space="preserve">Warehouse Workspace</t>
  </si>
  <si>
    <t xml:space="preserve">9</t>
  </si>
  <si>
    <t xml:space="preserve">Branch Workspace</t>
  </si>
  <si>
    <t xml:space="preserve">10</t>
  </si>
  <si>
    <t xml:space="preserve">Reporting</t>
  </si>
  <si>
    <t xml:space="preserve">11</t>
  </si>
  <si>
    <t xml:space="preserve">Reorder Recommendation Engine</t>
  </si>
  <si>
    <t xml:space="preserve">Not advanced forecasting</t>
  </si>
  <si>
    <t xml:space="preserve">12</t>
  </si>
  <si>
    <t xml:space="preserve">Sales Linkage</t>
  </si>
  <si>
    <t xml:space="preserve">Supporting data only — not POS</t>
  </si>
  <si>
    <t xml:space="preserve">13</t>
  </si>
  <si>
    <t xml:space="preserve">SaaS Readiness</t>
  </si>
  <si>
    <t xml:space="preserve">Groundwork from Epic 1, full enforcement here</t>
  </si>
  <si>
    <t xml:space="preserve">Warehouse-First Platform – Horizontal Architectural Decisions</t>
  </si>
  <si>
    <t xml:space="preserve">Decision Area</t>
  </si>
  <si>
    <t xml:space="preserve">What We Agreed</t>
  </si>
  <si>
    <t xml:space="preserve">Notes</t>
  </si>
  <si>
    <t xml:space="preserve">System Vision</t>
  </si>
  <si>
    <t xml:space="preserve">Warehouse-first platform. Sales are secondary – used only to support replenishment decisions and reporting.</t>
  </si>
  <si>
    <t xml:space="preserve">Not a POS. Not a full ERP.</t>
  </si>
  <si>
    <t xml:space="preserve">Build Strategy</t>
  </si>
  <si>
    <t xml:space="preserve">Extend the existing codebase. No rewrite from scratch.</t>
  </si>
  <si>
    <t xml:space="preserve">Leverage existing auth, items, branches, orders foundation.</t>
  </si>
  <si>
    <t xml:space="preserve">API Versioning</t>
  </si>
  <si>
    <t xml:space="preserve">All new or refactored endpoints under /api/v1</t>
  </si>
  <si>
    <t xml:space="preserve">Do not break existing endpoints in one shot.</t>
  </si>
  <si>
    <t xml:space="preserve">Tenant ID</t>
  </si>
  <si>
    <t xml:space="preserve">tenant_id enters from Epic 1 on all new/core tables. Migration plan for existing tables.</t>
  </si>
  <si>
    <t xml:space="preserve">Designed tenant-aware from day one, not retrofitted later.</t>
  </si>
  <si>
    <t xml:space="preserve">Offline Strategy</t>
  </si>
  <si>
    <t xml:space="preserve">Offline-tolerant (NOT offline-first) for branch-critical screens only.</t>
  </si>
  <si>
    <t xml:space="preserve">local draft persistence + retry queue + sync indicators + idempotent submit</t>
  </si>
  <si>
    <t xml:space="preserve">No Service Worker</t>
  </si>
  <si>
    <t xml:space="preserve">No full service worker offline app now. Revisit only if field ops require long disconnected periods.</t>
  </si>
  <si>
    <t xml:space="preserve">Current risk: temporary disconnects, weak signal, accidental double submit.</t>
  </si>
  <si>
    <t xml:space="preserve">Idempotency Contract</t>
  </si>
  <si>
    <t xml:space="preserve">Every critical mutation supports client_request_id.
Unique key = (tenant_id, client_request_id, operation_name)
response_reference only (not snapshot)
expires_at = 48h</t>
  </si>
  <si>
    <t xml:space="preserve">request_hash is optional for debugging only.</t>
  </si>
  <si>
    <t xml:space="preserve">Idempotency Cleanup</t>
  </si>
  <si>
    <t xml:space="preserve">Scheduled cleanup job deletes records past expires_at.
Indexes: client_request_id, expires_at, tenant_id</t>
  </si>
  <si>
    <t xml:space="preserve">Prevents table bloat in production.</t>
  </si>
  <si>
    <t xml:space="preserve">Forecasting Scope</t>
  </si>
  <si>
    <t xml:space="preserve">Start with Reorder Recommendation Engine (min/max, reorder point, avg consumption, lead time, safety stock).
NO advanced ML forecasting in early phases.</t>
  </si>
  <si>
    <t xml:space="preserve">Forecasting intelligence only after stable history data exists.</t>
  </si>
  <si>
    <t xml:space="preserve">Sales Scope</t>
  </si>
  <si>
    <t xml:space="preserve">Daily summaries, manual import, basic APIs only.
No cashier, no POS, no split bills, no refund engine.</t>
  </si>
  <si>
    <t xml:space="preserve">Sales used as input signal for replenishment and reporting.</t>
  </si>
  <si>
    <t xml:space="preserve">Deployment Target</t>
  </si>
  <si>
    <t xml:space="preserve">Application will be deployed on a server. Build as a deployable product from day one.</t>
  </si>
  <si>
    <t xml:space="preserve">No localhost hardcoding. Env-based config. Production-safe from Epic 1.</t>
  </si>
  <si>
    <t xml:space="preserve">Environment Strategy</t>
  </si>
  <si>
    <t xml:space="preserve">Separate configs: .env.local / .env.staging / .env.production
No secrets in code.</t>
  </si>
  <si>
    <t xml:space="preserve">Database Strategy</t>
  </si>
  <si>
    <t xml:space="preserve">PostgreSQL for production. All changes via clean migrations. No schema drift.</t>
  </si>
  <si>
    <t xml:space="preserve">SQLite acceptable for local dev only.</t>
  </si>
  <si>
    <t xml:space="preserve">Frontend Build</t>
  </si>
  <si>
    <t xml:space="preserve">Production uses vite build + static serving (nginx). NOT Vite dev server.</t>
  </si>
  <si>
    <t xml:space="preserve">Base URL from env variable.</t>
  </si>
  <si>
    <t xml:space="preserve">Logging</t>
  </si>
  <si>
    <t xml:space="preserve">Structured server-suitable logging from Epic 1. Not just console prints.</t>
  </si>
  <si>
    <t xml:space="preserve">Enables monitoring and traceability on server.</t>
  </si>
  <si>
    <t xml:space="preserve">Backup Ownership Rule</t>
  </si>
  <si>
    <t xml:space="preserve">Backup is NOT complete unless:
- Backup Owner named
- Restore Owner named
- Verification Owner named
- Alert channel for backup failure defined
- Results documentation location defined</t>
  </si>
  <si>
    <t xml:space="preserve">A backup with no owner = no backup.</t>
  </si>
  <si>
    <t xml:space="preserve">Go-Live Gate</t>
  </si>
  <si>
    <t xml:space="preserve">No first production deployment without passing Backup &amp; Recovery Checklist:
- Backup mechanism defined
- Offsite/separate storage confirmed
- Backup frequency set
- Retention period set
- Restore tested at least once
- Recovery steps documented
- Seed data separated from production data
- Rollback plan exists</t>
  </si>
  <si>
    <t xml:space="preserve">This is a hard gate, not a suggestion.</t>
  </si>
  <si>
    <t xml:space="preserve">Testing Priority</t>
  </si>
  <si>
    <t xml:space="preserve">Integration tests &gt; unit tests alone.
Layers: unit → integration → API → workflow → seeded demo validation</t>
  </si>
  <si>
    <t xml:space="preserve">Definition of Done (Project)</t>
  </si>
  <si>
    <t xml:space="preserve">Every stock number traceable to a ledger entry
Every workflow has a clear status model
Every critical operation has an audit log
Duplicate submit never executes twice
Branch screens tolerate weak connectivity
All new endpoints under /api/v1
Core tables are tenant-aware
App runs on local + staging + production
Frontend builds as production artifact
Backend has health checks</t>
  </si>
  <si>
    <t xml:space="preserve">Warehouse-First Platform – Epic Overview</t>
  </si>
  <si>
    <t xml:space="preserve">#</t>
  </si>
  <si>
    <t xml:space="preserve">Epic Name</t>
  </si>
  <si>
    <t xml:space="preserve">Goal</t>
  </si>
  <si>
    <t xml:space="preserve">MVP Scope</t>
  </si>
  <si>
    <t xml:space="preserve">Dependencies</t>
  </si>
  <si>
    <t xml:space="preserve">Risks</t>
  </si>
  <si>
    <t xml:space="preserve">Definition of Done</t>
  </si>
  <si>
    <t xml:space="preserve">Testing Scope</t>
  </si>
  <si>
    <t xml:space="preserve">Timeframe (weeks)</t>
  </si>
  <si>
    <t xml:space="preserve">Stabilize the codebase and make it deployment-ready. This is the most critical Epic.</t>
  </si>
  <si>
    <t xml:space="preserve">• Service layer extraction
• Unified permissions + object-level auth
• Standard error model
• audit_logs activation
• /api/v1 prefix
• tenant_id strategy
• idempotency_requests table + middleware
• Env separation (local/staging/prod)
• Health check endpoint
• Server-suitable logging
• Migrations discipline
• Integration test harness</t>
  </si>
  <si>
    <t xml:space="preserve">• Structured JSON logging
• Request correlation IDs
• Release metadata endpoint
• Shared response envelope</t>
  </si>
  <si>
    <t xml:space="preserve">None – this is the foundation</t>
  </si>
  <si>
    <t xml:space="preserve">• Scope creep in refactoring
• Breaking existing endpoints
• Underestimating time needed</t>
  </si>
  <si>
    <t xml:space="preserve">• Core services work via service layer
• Permissions unified and tested
• Idempotency live (backend + API)
• Audit logs active
• Config is production-ready
• Health endpoint exists
• Migrations stable
• Basic integration tests pass</t>
  </si>
  <si>
    <t xml:space="preserve">• Unit tests (services)
• Integration tests (inventory/orders/dashboard)
• Duplicate request tests
• Auth tests
• Env/config tests
• Migration smoke tests</t>
  </si>
  <si>
    <t xml:space="preserve">6–8</t>
  </si>
  <si>
    <t xml:space="preserve">Upgrade item master data to support real warehouse operations.</t>
  </si>
  <si>
    <t xml:space="preserve">• item_type, storage_type
• purchase_unit, supply_unit, conversion_ratio
• preferred_supplier_id
• lead_time_days, shelf_life_days
• reorder_point, safety_stock
• Multi-unit conversion support
• Substitute items (basic)
• Updated item screens + APIs</t>
  </si>
  <si>
    <t xml:space="preserve">• ABC classification
• Assortment rules per branch
• Branch-specific stock policies
• Bulk item import</t>
  </si>
  <si>
    <t xml:space="preserve">Epic 1</t>
  </si>
  <si>
    <t xml:space="preserve">• Over-engineering data model
• Unit logic conflicting with stock logic
• Breaking existing item records</t>
  </si>
  <si>
    <t xml:space="preserve">• One item can be defined for purchase, storage, and distribution
• Unit conversions are correct and tested
• New fields reflected in UI, API, and DB
• Migration is clean and safe</t>
  </si>
  <si>
    <t xml:space="preserve">• Unit conversion tests
• CRUD API tests
• Integration tests (item/unit/supplier)</t>
  </si>
  <si>
    <t xml:space="preserve">4–5</t>
  </si>
  <si>
    <t xml:space="preserve">Make the ledger the single source of truth for every stock movement.</t>
  </si>
  <si>
    <t xml:space="preserve">• Unified stock_transactions ledger
• Per-movement: source, destination, qty, reference, reason, user, timestamp, before/after balance
• Stock card API
• Movement history screen
• Ledger posting from: receipt, dispatch, receiving, adjustment, reconciliation</t>
  </si>
  <si>
    <t xml:space="preserve">• Reservation hooks
• Valuation hooks
• Document abstraction layer</t>
  </si>
  <si>
    <t xml:space="preserve">Epic 1, Epic 2 (partial)</t>
  </si>
  <si>
    <t xml:space="preserve">• Balance calculation errors
• Duplicate movements
• Poor indexing causing slow queries at scale</t>
  </si>
  <si>
    <t xml:space="preserve">• No stock change happens outside ledger
• Any stock number traceable to its source movement
• Stock card is accurate
• Performance acceptable on staging</t>
  </si>
  <si>
    <t xml:space="preserve">• Balance mutation tests
• Duplicate post prevention
• End-to-end movement tests
• Index/query performance checks</t>
  </si>
  <si>
    <t xml:space="preserve">Transform inventory counting into a professional workflow with approval and reconciliation.</t>
  </si>
  <si>
    <t xml:space="preserve">• count_sessions + count_session_lines tables
• Daily branch count
• Recount workflow
• Variance reason enforcement
• Approval flow
• Reconciliation posting to ledger
• Count list, entry, variance, approval screens</t>
  </si>
  <si>
    <t xml:space="preserve">• Blind count
• Cycle count scheduling
• Surprise audit
• Compliance scoring</t>
  </si>
  <si>
    <t xml:space="preserve">Epic 3</t>
  </si>
  <si>
    <t xml:space="preserve">• Conflicts between count and reconciliation
• Poor UX in entry screens
• Double-submit from branches</t>
  </si>
  <si>
    <t xml:space="preserve">• Count can be opened, submitted, recounted, approved, reconciled
• Variance reasons enforced where required
• Reconciliation updates ledger correctly
• Draft not lost on connectivity issues</t>
  </si>
  <si>
    <t xml:space="preserve">• Full count workflow tests
• Reconciliation integration tests
• Permission tests
• Draft/retry behavior tests</t>
  </si>
  <si>
    <t xml:space="preserve">5–6</t>
  </si>
  <si>
    <t xml:space="preserve">Expand existing orders into a full branch supply workflow.</t>
  </si>
  <si>
    <t xml:space="preserve">• Manual, scheduled, auto replenishment types
• Suggested quantity source
• Branch + warehouse review
• Partial approval
• Picking → dispatch → receiving states
• Discrepancy handling</t>
  </si>
  <si>
    <t xml:space="preserve">• Route grouping
• Branch priority rules
• Delivery windows</t>
  </si>
  <si>
    <t xml:space="preserve">Epic 3, Epic 4</t>
  </si>
  <si>
    <t xml:space="preserve">• Status model bloat
• Logic duplication across request/dispatch/receiving</t>
  </si>
  <si>
    <t xml:space="preserve">• Order moves end-to-end without logic gaps
• Partial approval and discrepancies supported
• Idempotent submit on critical actions</t>
  </si>
  <si>
    <t xml:space="preserve">• End-to-end workflow tests
• Authorization tests
• Duplicate submit tests</t>
  </si>
  <si>
    <t xml:space="preserve">Build a standalone module for inter-location stock transfers.</t>
  </si>
  <si>
    <t xml:space="preserve">• Warehouse-to-warehouse, warehouse-to-branch, branch return
• Statuses: draft → approved → dispatched → received → cancelled
• Transfer lines + history</t>
  </si>
  <si>
    <t xml:space="preserve">• Emergency transfer
• Partial receive
• Advanced discrepancy handling</t>
  </si>
  <si>
    <t xml:space="preserve">Epic 3, Epic 5 (partial)</t>
  </si>
  <si>
    <t xml:space="preserve">• Logic overlap with replenishment
• Complex multi-location balance tracking</t>
  </si>
  <si>
    <t xml:space="preserve">• Every transfer has a clear lifecycle
• Balances move accurately
• Ledger entries are correct</t>
  </si>
  <si>
    <t xml:space="preserve">• Transfer posting tests
• Dispatch/receive integration tests
• Status transition tests</t>
  </si>
  <si>
    <t xml:space="preserve">Add a complete purchase cycle from supplier to stock.</t>
  </si>
  <si>
    <t xml:space="preserve">• Suppliers + supplier-item mapping
• Purchase orders + PO lines
• Partial receiving
• Rejection reasons
• Supplier returns
• Basic supplier performance metrics</t>
  </si>
  <si>
    <t xml:space="preserve">• Landed cost
• Invoice matching
• Contract pricing
• Advanced supplier scorecards</t>
  </si>
  <si>
    <t xml:space="preserve">Epic 2, Epic 3</t>
  </si>
  <si>
    <t xml:space="preserve">• Scope bleed from replenishment
• Stock posting errors on partial receive</t>
  </si>
  <si>
    <t xml:space="preserve">• PO lifecycle works end-to-end
• Receipts update stock and ledger correctly
• Suppliers linked to items</t>
  </si>
  <si>
    <t xml:space="preserve">• PO workflow tests
• Stock receipt integration tests
• Supplier CRUD tests</t>
  </si>
  <si>
    <t xml:space="preserve">6–7</t>
  </si>
  <si>
    <t xml:space="preserve">Provide a real daily-operations UI for warehouse staff.</t>
  </si>
  <si>
    <t xml:space="preserve">• Warehouse dashboard
• Receiving queue
• Picking queue
• Dispatch queue
• Transfer queue
• Count queue</t>
  </si>
  <si>
    <t xml:space="preserve">• Low stock alerts widget
• Pending actions widget
• Operator-specific filters
• Workload balancing</t>
  </si>
  <si>
    <t xml:space="preserve">Epics 3, 5, 6, 7</t>
  </si>
  <si>
    <t xml:space="preserve">• UI overcrowding
• Dev-server assumptions leaking to production build</t>
  </si>
  <si>
    <t xml:space="preserve">• Warehouse user can complete daily tasks from one workspace
• Lists reflect real system states
• UI works as production build</t>
  </si>
  <si>
    <t xml:space="preserve">• UI flow tests
• Role-based navigation tests
• API integration tests</t>
  </si>
  <si>
    <t xml:space="preserve">Provide a lightweight, connectivity-tolerant UI for branch operations.</t>
  </si>
  <si>
    <t xml:space="preserve">• Branch stock view, daily count, request, receiving, exception request screens
• Local draft persistence
• Retry queue
• Sync status indicators
• Double-submit protection</t>
  </si>
  <si>
    <t xml:space="preserve">• Guided workflows
• Richer branch dashboard
• Assisted receiving UX</t>
  </si>
  <si>
    <t xml:space="preserve">Epics 4, 5, Epic 1 (offline approach)</t>
  </si>
  <si>
    <t xml:space="preserve">• Weak network losing data
• Inconsistent offline handling across screens</t>
  </si>
  <si>
    <t xml:space="preserve">• Input is never lost
• Submit never executes twice
• Sync state is always visible
• Retry behavior is predictable</t>
  </si>
  <si>
    <t xml:space="preserve">• Offline-tolerant UI tests
• Retry tests
• Idempotent API tests
• Branch workflow end-to-end tests</t>
  </si>
  <si>
    <t xml:space="preserve">Build operational and management reports from the trusted ledger.</t>
  </si>
  <si>
    <t xml:space="preserve">• Stock on hand, low stock, branch variance
• Warehouse fulfillment rate
• Report service layer</t>
  </si>
  <si>
    <t xml:space="preserve">• Stock valuation, overstock, dead stock
• Supplier fill rate, order turnaround
• Count compliance
• Executive scorecards
• Scheduled reports
• Export center</t>
  </si>
  <si>
    <t xml:space="preserve">Epics 3, 4, 5, 7</t>
  </si>
  <si>
    <t xml:space="preserve">• Reports on unstable data
• Calculation logic scattered in endpoints</t>
  </si>
  <si>
    <t xml:space="preserve">• Every report has a clear data source
• Calculations are traceable
• Acceptable performance on deployment environment</t>
  </si>
  <si>
    <t xml:space="preserve">• Report calculation tests
• Seeded data validation
• Access control tests
• Performance smoke tests</t>
  </si>
  <si>
    <t xml:space="preserve">Build a simple, explainable reorder recommendation engine (NOT advanced forecasting).</t>
  </si>
  <si>
    <t xml:space="preserve">• Min/max logic
• Reorder point calculation
• Recent average consumption
• Lead time awareness
• Safety stock consideration
• Branch replenishment suggestions</t>
  </si>
  <si>
    <t xml:space="preserve">• Weighted averages
• Branch class adjustments
• Event uplift
• Purchase suggestion list
• Seasonality (later)</t>
  </si>
  <si>
    <t xml:space="preserve">Epics 2, 3, 5, 10</t>
  </si>
  <si>
    <t xml:space="preserve">• Poor data quality undermining recommendations
• Premature advanced forecasting</t>
  </si>
  <si>
    <t xml:space="preserve">• Recommendations are explainable (inputs visible)
• Outputs can be converted to actual orders
• Not a black box</t>
  </si>
  <si>
    <t xml:space="preserve">• Recommendation logic tests
• Scenario tests
• Seeded data verification</t>
  </si>
  <si>
    <t xml:space="preserve">Connect sales as a supporting data input only – not a core workflow.</t>
  </si>
  <si>
    <t xml:space="preserve">• Daily sales summaries by branch
• Sales by item/category
• Manual CSV import
• Sales feed APIs</t>
  </si>
  <si>
    <t xml:space="preserve">• Basic consumption linkage
• External POS adapters
• Scheduled imports
• Anomaly detection</t>
  </si>
  <si>
    <t xml:space="preserve">Epic 10, Epic 11 (partial)</t>
  </si>
  <si>
    <t xml:space="preserve">• Unintended scope creep toward POS
• Inconsistent data from external sources</t>
  </si>
  <si>
    <t xml:space="preserve">• Sales data feeds reports and recommendations
• Module does NOT become cashier/POS scope</t>
  </si>
  <si>
    <t xml:space="preserve">• Import validation tests
• Aggregation tests
• Reporting impact tests</t>
  </si>
  <si>
    <t xml:space="preserve">3–4</t>
  </si>
  <si>
    <t xml:space="preserve">Prepare the platform to serve multiple clients without painful restructuring.</t>
  </si>
  <si>
    <t xml:space="preserve">• tenant_id on all core business tables
• Tenant-scoped auth
• Tenant-aware queries
• Tenant settings
• Tenant seed strategy
• Tenant-safe audit + idempotency</t>
  </si>
  <si>
    <t xml:space="preserve">• Feature flags
• Subscription plan skeleton
• Tenant admin panel
• Branding controls</t>
  </si>
  <si>
    <t xml:space="preserve">All previous Epics. tenant_id groundwork starts in Epic 1.</t>
  </si>
  <si>
    <t xml:space="preserve">• Migration pain if delayed
• Cross-tenant data leaks if enforcement is weak</t>
  </si>
  <si>
    <t xml:space="preserve">• No cross-tenant leakage possible
• Core tables are tenant-aware
• Tests cover tenant isolation</t>
  </si>
  <si>
    <t xml:space="preserve">• Tenant isolation tests
• Migration verification tests
• API scope tests</t>
  </si>
  <si>
    <t xml:space="preserve">6–8 (incremental)</t>
  </si>
  <si>
    <t xml:space="preserve">Warehouse-First Platform – Full Jira-Ready Backlog (146 stories)</t>
  </si>
  <si>
    <t xml:space="preserve">Story ID</t>
  </si>
  <si>
    <t xml:space="preserve">Epic</t>
  </si>
  <si>
    <t xml:space="preserve">Issue Type</t>
  </si>
  <si>
    <t xml:space="preserve">Delivery Type</t>
  </si>
  <si>
    <t xml:space="preserve">Story Title</t>
  </si>
  <si>
    <t xml:space="preserve">Description</t>
  </si>
  <si>
    <t xml:space="preserve">Priority</t>
  </si>
  <si>
    <t xml:space="preserve">Estimate</t>
  </si>
  <si>
    <t xml:space="preserve">Acceptance Criteria</t>
  </si>
  <si>
    <t xml:space="preserve">E01-001</t>
  </si>
  <si>
    <t xml:space="preserve">E1: Core Foundation</t>
  </si>
  <si>
    <t xml:space="preserve">Extract service layer from routers</t>
  </si>
  <si>
    <t xml:space="preserve">Move all heavy business logic out of FastAPI routers into dedicated service classes. Routers become thin controllers only.</t>
  </si>
  <si>
    <t xml:space="preserve">All core business operations execute through a service layer. Routers contain no business logic.</t>
  </si>
  <si>
    <t xml:space="preserve">Start here before any other Epic 1 task.</t>
  </si>
  <si>
    <t xml:space="preserve">E01-002</t>
  </si>
  <si>
    <t xml:space="preserve">Centralize permission checks</t>
  </si>
  <si>
    <t xml:space="preserve">Create a unified authorization layer. Replace scattered permission logic with a single source of truth.</t>
  </si>
  <si>
    <t xml:space="preserve">Service layer</t>
  </si>
  <si>
    <t xml:space="preserve">Permission checks are not duplicated. A single change point controls access rules.</t>
  </si>
  <si>
    <t xml:space="preserve">E01-003</t>
  </si>
  <si>
    <t xml:space="preserve">Complete object-level authorization</t>
  </si>
  <si>
    <t xml:space="preserve">Every API call verifies not just role, but that the user has rights to the specific object being accessed.</t>
  </si>
  <si>
    <t xml:space="preserve">Centralize permissions</t>
  </si>
  <si>
    <t xml:space="preserve">No user can access objects outside their authorized scope. Integration tests cover edge cases.</t>
  </si>
  <si>
    <t xml:space="preserve">E01-004</t>
  </si>
  <si>
    <t xml:space="preserve">Implement standard error model</t>
  </si>
  <si>
    <t xml:space="preserve">Define a unified error response schema: {error_code, message, detail}. Eliminate ad-hoc error shapes.</t>
  </si>
  <si>
    <t xml:space="preserve">Every error response follows the same structure.</t>
  </si>
  <si>
    <t xml:space="preserve">E01-005</t>
  </si>
  <si>
    <t xml:space="preserve">Activate audit logs for critical operations</t>
  </si>
  <si>
    <t xml:space="preserve">Enable audit_log entries for all write operations: create, update, approve, reject, dispatch, receive, adjust.</t>
  </si>
  <si>
    <t xml:space="preserve">Every critical mutation has an audit trail with user, timestamp, before/after state.</t>
  </si>
  <si>
    <t xml:space="preserve">E01-006</t>
  </si>
  <si>
    <t xml:space="preserve">Enforce /api/v1 prefix on all new endpoints</t>
  </si>
  <si>
    <t xml:space="preserve">All new routes and any refactored routes use /api/v1/... prefix.</t>
  </si>
  <si>
    <t xml:space="preserve">New endpoints are versioned. No breaking changes to old endpoints.</t>
  </si>
  <si>
    <t xml:space="preserve">E01-007</t>
  </si>
  <si>
    <t xml:space="preserve">Add tenant_id to new core tables + migration plan</t>
  </si>
  <si>
    <t xml:space="preserve">Add tenant_id to all newly created tables. Document migration plan for existing tables.</t>
  </si>
  <si>
    <t xml:space="preserve">New tables include tenant_id. Migration plan reviewed before execution.</t>
  </si>
  <si>
    <t xml:space="preserve">Critical: enables SaaS without painful retrofit.</t>
  </si>
  <si>
    <t xml:space="preserve">E01-008</t>
  </si>
  <si>
    <t xml:space="preserve">Create idempotency_requests table</t>
  </si>
  <si>
    <t xml:space="preserve">Table: id, tenant_id, client_request_id, operation_name, user_id, status, response_reference_type, response_reference_id, request_hash (nullable), created_at, expires_at. Indexes on (tenant_id, client_request_id, operation_name) and expires_at.</t>
  </si>
  <si>
    <t xml:space="preserve">tenant_id strategy</t>
  </si>
  <si>
    <t xml:space="preserve">Table exists with correct schema and indexes.</t>
  </si>
  <si>
    <t xml:space="preserve">Unique key = (tenant_id + client_request_id + operation_name)</t>
  </si>
  <si>
    <t xml:space="preserve">E01-009</t>
  </si>
  <si>
    <t xml:space="preserve">Build idempotency middleware/service</t>
  </si>
  <si>
    <t xml:space="preserve">Intercept critical mutations. Return stored result on duplicate. Execute and store on first call.</t>
  </si>
  <si>
    <t xml:space="preserve">Idempotency table</t>
  </si>
  <si>
    <t xml:space="preserve">Duplicate submit of any critical mutation returns same result without re-executing. Integration test confirms this.</t>
  </si>
  <si>
    <t xml:space="preserve">Applies to: submit inventory, approve/reject, dispatch, receive, PO receipt, stock adjustment, count submission.</t>
  </si>
  <si>
    <t xml:space="preserve">E01-010</t>
  </si>
  <si>
    <t xml:space="preserve">Build cleanup job for idempotency records</t>
  </si>
  <si>
    <t xml:space="preserve">Scheduled job deletes idempotency_requests where expires_at &lt; now(). Default window: 48h.</t>
  </si>
  <si>
    <t xml:space="preserve">Old records are purged automatically. Table does not grow unbounded.</t>
  </si>
  <si>
    <t xml:space="preserve">E01-011</t>
  </si>
  <si>
    <t xml:space="preserve">Environment separation (local/staging/production)</t>
  </si>
  <si>
    <t xml:space="preserve">Create .env.local, .env.staging, .env.production. Move all environment-specific values out of code.</t>
  </si>
  <si>
    <t xml:space="preserve">Application runs correctly in all three environments with only env file swap.</t>
  </si>
  <si>
    <t xml:space="preserve">No hardcoded localhost, no hardcoded credentials.</t>
  </si>
  <si>
    <t xml:space="preserve">E01-012</t>
  </si>
  <si>
    <t xml:space="preserve">Remove all hardcoded localhost assumptions</t>
  </si>
  <si>
    <t xml:space="preserve">Audit entire codebase for hardcoded localhost URLs, fixed ports, or local-path assumptions. Replace all with env-based config.</t>
  </si>
  <si>
    <t xml:space="preserve">Env separation</t>
  </si>
  <si>
    <t xml:space="preserve">No reference to localhost or fixed paths in application code.</t>
  </si>
  <si>
    <t xml:space="preserve">E01-013</t>
  </si>
  <si>
    <t xml:space="preserve">Add health check endpoint</t>
  </si>
  <si>
    <t xml:space="preserve">Implement GET /api/v1/health returning system status: DB connectivity, app version, uptime.</t>
  </si>
  <si>
    <t xml:space="preserve">Health endpoint returns 200 with status payload. Suitable for monitoring and load balancer.</t>
  </si>
  <si>
    <t xml:space="preserve">E01-014</t>
  </si>
  <si>
    <t xml:space="preserve">Server-suitable backend logging</t>
  </si>
  <si>
    <t xml:space="preserve">Replace console prints with structured logging. Log levels: DEBUG/INFO/WARN/ERROR. Logs include timestamp, request ID, user, operation.</t>
  </si>
  <si>
    <t xml:space="preserve">Logs are readable and useful on a remote server. No sensitive data in logs.</t>
  </si>
  <si>
    <t xml:space="preserve">E01-015</t>
  </si>
  <si>
    <t xml:space="preserve">Enforce migrations discipline</t>
  </si>
  <si>
    <t xml:space="preserve">All DB schema changes go through versioned migration files (Alembic). No direct schema edits. Document rollback steps.</t>
  </si>
  <si>
    <t xml:space="preserve">All schema changes are in migration files. Rollback plan exists.</t>
  </si>
  <si>
    <t xml:space="preserve">E01-016</t>
  </si>
  <si>
    <t xml:space="preserve">Build integration test harness</t>
  </si>
  <si>
    <t xml:space="preserve">Set up pytest with test DB, fixtures for common entities, and helpers for auth, CRUD, and workflow testing.</t>
  </si>
  <si>
    <t xml:space="preserve">Test suite runs cleanly. Fixtures cover: users, branches, warehouses, items, orders.</t>
  </si>
  <si>
    <t xml:space="preserve">Foundation for all future Epic tests.</t>
  </si>
  <si>
    <t xml:space="preserve">E01-017</t>
  </si>
  <si>
    <t xml:space="preserve">Structured JSON logging</t>
  </si>
  <si>
    <t xml:space="preserve">Emit logs as structured JSON to support log aggregation tools (ELK, Loki).</t>
  </si>
  <si>
    <t xml:space="preserve">Server logging</t>
  </si>
  <si>
    <t xml:space="preserve">Log lines are valid JSON with consistent fields.</t>
  </si>
  <si>
    <t xml:space="preserve">E01-018</t>
  </si>
  <si>
    <t xml:space="preserve">Request correlation IDs</t>
  </si>
  <si>
    <t xml:space="preserve">Attach unique X-Request-ID to each request, propagate through service layer, include in logs and error responses.</t>
  </si>
  <si>
    <t xml:space="preserve">Every request is traceable across logs by its correlation ID.</t>
  </si>
  <si>
    <t xml:space="preserve">E01-019</t>
  </si>
  <si>
    <t xml:space="preserve">Shared response envelope</t>
  </si>
  <si>
    <t xml:space="preserve">Standardize all API responses into a common envelope: {data, meta, errors}.</t>
  </si>
  <si>
    <t xml:space="preserve">Standard error model</t>
  </si>
  <si>
    <t xml:space="preserve">API responses have consistent outer structure.</t>
  </si>
  <si>
    <t xml:space="preserve">E02-001</t>
  </si>
  <si>
    <t xml:space="preserve">E2: Master Data</t>
  </si>
  <si>
    <t xml:space="preserve">Add item_type field to items</t>
  </si>
  <si>
    <t xml:space="preserve">Add item_type enum: raw_material, packaging, consumable, finished_good. Apply clean migration.</t>
  </si>
  <si>
    <t xml:space="preserve">item_type is stored, validated, and returned via API. Migration applied cleanly.</t>
  </si>
  <si>
    <t xml:space="preserve">E02-002</t>
  </si>
  <si>
    <t xml:space="preserve">Add storage_type field to items</t>
  </si>
  <si>
    <t xml:space="preserve">Add storage_type enum: ambient, chilled, frozen.</t>
  </si>
  <si>
    <t xml:space="preserve">storage_type is stored and returned via API.</t>
  </si>
  <si>
    <t xml:space="preserve">E02-003</t>
  </si>
  <si>
    <t xml:space="preserve">Add purchase_unit and supply_unit fields</t>
  </si>
  <si>
    <t xml:space="preserve">Items carry separate units for procurement vs. distribution.</t>
  </si>
  <si>
    <t xml:space="preserve">purchase_unit and supply_unit are independent, validated fields linked to unit master.</t>
  </si>
  <si>
    <t xml:space="preserve">E02-004</t>
  </si>
  <si>
    <t xml:space="preserve">Add conversion_ratio logic</t>
  </si>
  <si>
    <t xml:space="preserve">Define how purchase_unit converts to supply_unit (e.g., 1 case = 12 units).</t>
  </si>
  <si>
    <t xml:space="preserve">purchase/supply units</t>
  </si>
  <si>
    <t xml:space="preserve">Conversion produces correct results. Used in receiving, dispatch, and recommendations.</t>
  </si>
  <si>
    <t xml:space="preserve">E02-005</t>
  </si>
  <si>
    <t xml:space="preserve">Add preferred_supplier_id to items</t>
  </si>
  <si>
    <t xml:space="preserve">Link item to a default supplier. Used in PO creation and reorder recommendations.</t>
  </si>
  <si>
    <t xml:space="preserve">preferred_supplier_id is a valid FK to suppliers table. Nullable.</t>
  </si>
  <si>
    <t xml:space="preserve">E02-006</t>
  </si>
  <si>
    <t xml:space="preserve">Add lead_time_days and shelf_life_days</t>
  </si>
  <si>
    <t xml:space="preserve">lead_time_days = PO-to-delivery. shelf_life_days = max shelf life.</t>
  </si>
  <si>
    <t xml:space="preserve">Fields stored and validated as positive integers.</t>
  </si>
  <si>
    <t xml:space="preserve">E02-007</t>
  </si>
  <si>
    <t xml:space="preserve">Add reorder_point and safety_stock</t>
  </si>
  <si>
    <t xml:space="preserve">Thresholds used by reorder recommendation engine.</t>
  </si>
  <si>
    <t xml:space="preserve">lead_time_days</t>
  </si>
  <si>
    <t xml:space="preserve">Fields stored and used by recommendation engine (Epic 11).</t>
  </si>
  <si>
    <t xml:space="preserve">E02-008</t>
  </si>
  <si>
    <t xml:space="preserve">Build unit conversion service</t>
  </si>
  <si>
    <t xml:space="preserve">Centralized service handling all unit conversions throughout the system. No inline conversion calculations.</t>
  </si>
  <si>
    <t xml:space="preserve">conversion_ratio</t>
  </si>
  <si>
    <t xml:space="preserve">Any conversion request goes through this service. Logic tested in isolation.</t>
  </si>
  <si>
    <t xml:space="preserve">E02-009</t>
  </si>
  <si>
    <t xml:space="preserve">Support substitute item (basic)</t>
  </si>
  <si>
    <t xml:space="preserve">Add substitute_item_id FK on items. When out of stock, system can suggest substitute.</t>
  </si>
  <si>
    <t xml:space="preserve">substitute_item_id stored. API exposes it. Frontend shows substitute suggestion.</t>
  </si>
  <si>
    <t xml:space="preserve">E02-010</t>
  </si>
  <si>
    <t xml:space="preserve">Update item screens and APIs</t>
  </si>
  <si>
    <t xml:space="preserve">Extend item create/edit screens and APIs to include all new fields.</t>
  </si>
  <si>
    <t xml:space="preserve">All above</t>
  </si>
  <si>
    <t xml:space="preserve">Item API supports all new fields. Screens reflect changes. No regressions.</t>
  </si>
  <si>
    <t xml:space="preserve">E02-011</t>
  </si>
  <si>
    <t xml:space="preserve">ABC classification</t>
  </si>
  <si>
    <t xml:space="preserve">Classify items as A/B/C by value and movement frequency.</t>
  </si>
  <si>
    <t xml:space="preserve">Epic 3 data</t>
  </si>
  <si>
    <t xml:space="preserve">ABC class calculated, stored, and refreshable per item.</t>
  </si>
  <si>
    <t xml:space="preserve">E02-012</t>
  </si>
  <si>
    <t xml:space="preserve">Branch-specific stock policies</t>
  </si>
  <si>
    <t xml:space="preserve">Per-branch overrides for min_stock, max_stock, reorder_point.</t>
  </si>
  <si>
    <t xml:space="preserve">Epic 2 MVP</t>
  </si>
  <si>
    <t xml:space="preserve">Branch-specific policies override item-level defaults in recommendations.</t>
  </si>
  <si>
    <t xml:space="preserve">E02-013</t>
  </si>
  <si>
    <t xml:space="preserve">Bulk item import</t>
  </si>
  <si>
    <t xml:space="preserve">CSV/Excel upload for creating or updating multiple items at once.</t>
  </si>
  <si>
    <t xml:space="preserve">Import validates, reports errors by row, applies changes atomically.</t>
  </si>
  <si>
    <t xml:space="preserve">E03-001</t>
  </si>
  <si>
    <t xml:space="preserve">E3: Inventory Ledger</t>
  </si>
  <si>
    <t xml:space="preserve">Unify all movements in stock_transactions ledger</t>
  </si>
  <si>
    <t xml:space="preserve">Every stock change creates a ledger entry. No stock changes outside the ledger.</t>
  </si>
  <si>
    <t xml:space="preserve">Epic 1, Epic 2</t>
  </si>
  <si>
    <t xml:space="preserve">Ledger is the single source of truth. No orphaned stock changes.</t>
  </si>
  <si>
    <t xml:space="preserve">Most important Epic in the product.</t>
  </si>
  <si>
    <t xml:space="preserve">E03-002</t>
  </si>
  <si>
    <t xml:space="preserve">Add before/after balance to every transaction</t>
  </si>
  <si>
    <t xml:space="preserve">Each transaction records balance_before and balance_after for the affected SKU/location.</t>
  </si>
  <si>
    <t xml:space="preserve">Unified ledger</t>
  </si>
  <si>
    <t xml:space="preserve">Any transaction shows exactly what stock was before and after.</t>
  </si>
  <si>
    <t xml:space="preserve">E03-003</t>
  </si>
  <si>
    <t xml:space="preserve">Build stock card API</t>
  </si>
  <si>
    <t xml:space="preserve">GET /api/v1/stock/card?item_id=&amp;location_id= returns full movement history in reverse chronological order.</t>
  </si>
  <si>
    <t xml:space="preserve">Ledger + balance fields</t>
  </si>
  <si>
    <t xml:space="preserve">Stock card returns complete, correct movement history. Matches current balance.</t>
  </si>
  <si>
    <t xml:space="preserve">E03-004</t>
  </si>
  <si>
    <t xml:space="preserve">Build movement history screen</t>
  </si>
  <si>
    <t xml:space="preserve">Frontend screen for stock card. Filterable by date range and transaction type.</t>
  </si>
  <si>
    <t xml:space="preserve">Stock card API</t>
  </si>
  <si>
    <t xml:space="preserve">Users can trace any stock number to its source within 3 clicks.</t>
  </si>
  <si>
    <t xml:space="preserve">E03-005</t>
  </si>
  <si>
    <t xml:space="preserve">Ledger posting from purchase receipt</t>
  </si>
  <si>
    <t xml:space="preserve">PO receipt creates purchase_receipt ledger entry, increasing stock at receiving location.</t>
  </si>
  <si>
    <t xml:space="preserve">PO receipt creates correct ledger entry. Stock increases. Idempotency applied.</t>
  </si>
  <si>
    <t xml:space="preserve">E03-006</t>
  </si>
  <si>
    <t xml:space="preserve">Ledger posting from warehouse dispatch</t>
  </si>
  <si>
    <t xml:space="preserve">Dispatch creates warehouse_dispatch entry, decreasing warehouse stock.</t>
  </si>
  <si>
    <t xml:space="preserve">Dispatch creates ledger entry. Warehouse stock decreases correctly.</t>
  </si>
  <si>
    <t xml:space="preserve">E03-007</t>
  </si>
  <si>
    <t xml:space="preserve">Ledger posting from branch receiving</t>
  </si>
  <si>
    <t xml:space="preserve">Branch receipt creates branch_receipt entry, increasing branch stock.</t>
  </si>
  <si>
    <t xml:space="preserve">Branch receipt creates ledger entry. Branch stock increases correctly.</t>
  </si>
  <si>
    <t xml:space="preserve">E03-008</t>
  </si>
  <si>
    <t xml:space="preserve">Ledger posting from stock adjustment</t>
  </si>
  <si>
    <t xml:space="preserve">Manual adjustments post to ledger with mandatory reason code.</t>
  </si>
  <si>
    <t xml:space="preserve">Adjustment creates ledger entry. Reason mandatory. Idempotency applied.</t>
  </si>
  <si>
    <t xml:space="preserve">E03-009</t>
  </si>
  <si>
    <t xml:space="preserve">Ledger posting from count reconciliation</t>
  </si>
  <si>
    <t xml:space="preserve">Count approval auto-posts count_reconciliation entries for variance lines.</t>
  </si>
  <si>
    <t xml:space="preserve">Epic 4</t>
  </si>
  <si>
    <t xml:space="preserve">Count approval triggers correct ledger entries automatically.</t>
  </si>
  <si>
    <t xml:space="preserve">E03-010</t>
  </si>
  <si>
    <t xml:space="preserve">Add critical DB indexes to ledger</t>
  </si>
  <si>
    <t xml:space="preserve">Index on: (item_id, location_id, created_at), (reference_id, reference_type), (tenant_id, created_at).</t>
  </si>
  <si>
    <t xml:space="preserve">Stock card queries execute in &lt; 500ms on 1M row dataset.</t>
  </si>
  <si>
    <t xml:space="preserve">Essential for production performance.</t>
  </si>
  <si>
    <t xml:space="preserve">E03-011</t>
  </si>
  <si>
    <t xml:space="preserve">Reservation/soft-allocation hooks</t>
  </si>
  <si>
    <t xml:space="preserve">Reserve stock against a pending order before dispatch. Prevents over-allocation.</t>
  </si>
  <si>
    <t xml:space="preserve">Reserved quantity tracked separately from available quantity.</t>
  </si>
  <si>
    <t xml:space="preserve">E03-012</t>
  </si>
  <si>
    <t xml:space="preserve">Valuation hooks</t>
  </si>
  <si>
    <t xml:space="preserve">Attach cost price to each ledger entry for future stock valuation reports.</t>
  </si>
  <si>
    <t xml:space="preserve">Epic 7</t>
  </si>
  <si>
    <t xml:space="preserve">Each ledger entry optionally carries unit_cost.</t>
  </si>
  <si>
    <t xml:space="preserve">E04-001</t>
  </si>
  <si>
    <t xml:space="preserve">E4: Adv. Counting</t>
  </si>
  <si>
    <t xml:space="preserve">Create count_sessions table</t>
  </si>
  <si>
    <t xml:space="preserve">Fields: id, tenant_id, location_id, location_type, count_type, status, opened_by, opened_at, closed_at, approved_by, approved_at.</t>
  </si>
  <si>
    <t xml:space="preserve">E04-002</t>
  </si>
  <si>
    <t xml:space="preserve">Create count_session_lines table</t>
  </si>
  <si>
    <t xml:space="preserve">Fields: id, session_id, item_id, unit_id, expected_qty, counted_qty, variance_qty, variance_reason, recounted_qty, status.</t>
  </si>
  <si>
    <t xml:space="preserve">count_sessions</t>
  </si>
  <si>
    <t xml:space="preserve">Table exists with correct schema.</t>
  </si>
  <si>
    <t xml:space="preserve">E04-003</t>
  </si>
  <si>
    <t xml:space="preserve">Build daily branch count workflow</t>
  </si>
  <si>
    <t xml:space="preserve">Branch can open a daily count session, enter quantities, and submit for review.</t>
  </si>
  <si>
    <t xml:space="preserve">count_sessions + lines</t>
  </si>
  <si>
    <t xml:space="preserve">Branch user can open → fill → submit a daily count. Variance calculated automatically.</t>
  </si>
  <si>
    <t xml:space="preserve">E04-004</t>
  </si>
  <si>
    <t xml:space="preserve">Build recount workflow</t>
  </si>
  <si>
    <t xml:space="preserve">Specific items can be flagged for recount without reopening the full session.</t>
  </si>
  <si>
    <t xml:space="preserve">Daily count workflow</t>
  </si>
  <si>
    <t xml:space="preserve">Individual lines can be recounted. Recount result stored alongside original.</t>
  </si>
  <si>
    <t xml:space="preserve">E04-005</t>
  </si>
  <si>
    <t xml:space="preserve">Enforce variance reason on significant variances</t>
  </si>
  <si>
    <t xml:space="preserve">Variance_reason is mandatory when counted_qty differs from expected beyond a threshold.</t>
  </si>
  <si>
    <t xml:space="preserve">Count workflow</t>
  </si>
  <si>
    <t xml:space="preserve">Submissions with significant variance and no reason are rejected.</t>
  </si>
  <si>
    <t xml:space="preserve">E04-006</t>
  </si>
  <si>
    <t xml:space="preserve">Build count approval flow</t>
  </si>
  <si>
    <t xml:space="preserve">Reviewer can review submitted counts, request recount on specific lines, or approve the full session.</t>
  </si>
  <si>
    <t xml:space="preserve">Approval moves session to approved. approved_by and approved_at recorded.</t>
  </si>
  <si>
    <t xml:space="preserve">E04-007</t>
  </si>
  <si>
    <t xml:space="preserve">Build reconciliation posting to ledger</t>
  </si>
  <si>
    <t xml:space="preserve">On approval, system auto-posts count_reconciliation entries for all variance lines.</t>
  </si>
  <si>
    <t xml:space="preserve">Epic 3 ledger, count approval</t>
  </si>
  <si>
    <t xml:space="preserve">Approved count creates correct ledger entries. Stock balances update accurately.</t>
  </si>
  <si>
    <t xml:space="preserve">E04-008</t>
  </si>
  <si>
    <t xml:space="preserve">Count list screen</t>
  </si>
  <si>
    <t xml:space="preserve">Screen showing all count sessions with status, location, date, and action buttons.</t>
  </si>
  <si>
    <t xml:space="preserve">Users see their sessions. HQ/warehouse users see all. Filters work.</t>
  </si>
  <si>
    <t xml:space="preserve">E04-009</t>
  </si>
  <si>
    <t xml:space="preserve">Count entry screen (offline-tolerant)</t>
  </si>
  <si>
    <t xml:space="preserve">Enters counted quantities per item. Draft auto-saved locally. Retry on reconnect. Double-submit blocked.</t>
  </si>
  <si>
    <t xml:space="preserve">Count workflow + Epic 1 offline</t>
  </si>
  <si>
    <t xml:space="preserve">Draft never lost. Submit idempotent. Sync status always visible.</t>
  </si>
  <si>
    <t xml:space="preserve">Most critical offline-tolerant screen.</t>
  </si>
  <si>
    <t xml:space="preserve">E04-010</t>
  </si>
  <si>
    <t xml:space="preserve">Variance review screen</t>
  </si>
  <si>
    <t xml:space="preserve">Shows all variances for a session. Reviewer can filter, request recount, or proceed to approval.</t>
  </si>
  <si>
    <t xml:space="preserve">Count approval</t>
  </si>
  <si>
    <t xml:space="preserve">Reviewer can see, filter, and act on all variances in one screen.</t>
  </si>
  <si>
    <t xml:space="preserve">E04-011</t>
  </si>
  <si>
    <t xml:space="preserve">Blind count support</t>
  </si>
  <si>
    <t xml:space="preserve">Count session where expected quantities are hidden from counter to prevent bias.</t>
  </si>
  <si>
    <t xml:space="preserve">Blind count mode hides expected_qty during entry.</t>
  </si>
  <si>
    <t xml:space="preserve">E04-012</t>
  </si>
  <si>
    <t xml:space="preserve">Cycle count scheduling</t>
  </si>
  <si>
    <t xml:space="preserve">Auto-generate count sessions for item groups on a rolling schedule.</t>
  </si>
  <si>
    <t xml:space="preserve">Epic 2 ABC class</t>
  </si>
  <si>
    <t xml:space="preserve">Count schedule creates sessions by item class or category on defined cadence.</t>
  </si>
  <si>
    <t xml:space="preserve">E04-013</t>
  </si>
  <si>
    <t xml:space="preserve">Count compliance scoring</t>
  </si>
  <si>
    <t xml:space="preserve">Score each branch/location on count compliance: on-time submissions, variance rates.</t>
  </si>
  <si>
    <t xml:space="preserve">Epic 10 reporting</t>
  </si>
  <si>
    <t xml:space="preserve">Compliance score calculated and visible in reports.</t>
  </si>
  <si>
    <t xml:space="preserve">E05-001</t>
  </si>
  <si>
    <t xml:space="preserve">E5: Replenishment</t>
  </si>
  <si>
    <t xml:space="preserve">Support manual replenishment request</t>
  </si>
  <si>
    <t xml:space="preserve">Branch can submit a manual stock request with custom quantities for any item.</t>
  </si>
  <si>
    <t xml:space="preserve">Manual request created with correct items, quantities, and status = pending_review.</t>
  </si>
  <si>
    <t xml:space="preserve">E05-002</t>
  </si>
  <si>
    <t xml:space="preserve">Support scheduled replenishment</t>
  </si>
  <si>
    <t xml:space="preserve">System generates replenishment requests automatically on a defined schedule per branch.</t>
  </si>
  <si>
    <t xml:space="preserve">Epic 3, Epic 11</t>
  </si>
  <si>
    <t xml:space="preserve">Scheduled requests generated on time with suggested quantities.</t>
  </si>
  <si>
    <t xml:space="preserve">E05-003</t>
  </si>
  <si>
    <t xml:space="preserve">Support auto replenishment trigger</t>
  </si>
  <si>
    <t xml:space="preserve">System triggers a request when stock drops below reorder_point.</t>
  </si>
  <si>
    <t xml:space="preserve">Epic 3, reorder_point</t>
  </si>
  <si>
    <t xml:space="preserve">Auto-trigger fires when stock hits threshold. Request created without manual action.</t>
  </si>
  <si>
    <t xml:space="preserve">E05-004</t>
  </si>
  <si>
    <t xml:space="preserve">Suggested quantity on request lines</t>
  </si>
  <si>
    <t xml:space="preserve">Each line shows suggested_qty with source: min/max, average consumption, stock cover days.</t>
  </si>
  <si>
    <t xml:space="preserve">Epic 11 partial</t>
  </si>
  <si>
    <t xml:space="preserve">Suggested qty visible with clear source label.</t>
  </si>
  <si>
    <t xml:space="preserve">E05-005</t>
  </si>
  <si>
    <t xml:space="preserve">Branch review workflow</t>
  </si>
  <si>
    <t xml:space="preserve">Branch can review, edit, and confirm a suggested replenishment before submitting.</t>
  </si>
  <si>
    <t xml:space="preserve">Request creation</t>
  </si>
  <si>
    <t xml:space="preserve">Branch can edit quantities, remove lines, and submit. Idempotent submit applied.</t>
  </si>
  <si>
    <t xml:space="preserve">E05-006</t>
  </si>
  <si>
    <t xml:space="preserve">Warehouse review and partial approval</t>
  </si>
  <si>
    <t xml:space="preserve">Warehouse can approve, partially approve, or reject request lines.</t>
  </si>
  <si>
    <t xml:space="preserve">Branch review</t>
  </si>
  <si>
    <t xml:space="preserve">Warehouse can approve all, approve subset with modified quantities, or reject. All changes audited.</t>
  </si>
  <si>
    <t xml:space="preserve">E05-007</t>
  </si>
  <si>
    <t xml:space="preserve">Picking state and queue</t>
  </si>
  <si>
    <t xml:space="preserve">Approved requests enter picking state. Warehouse picker sees a picking list grouped by location.</t>
  </si>
  <si>
    <t xml:space="preserve">Warehouse approval</t>
  </si>
  <si>
    <t xml:space="preserve">Picking queue shows all approved, unfulfilled requests.</t>
  </si>
  <si>
    <t xml:space="preserve">E05-008</t>
  </si>
  <si>
    <t xml:space="preserve">Dispatch state</t>
  </si>
  <si>
    <t xml:space="preserve">After picking, warehouse dispatches. Posts warehouse_dispatch to ledger and notifies branch.</t>
  </si>
  <si>
    <t xml:space="preserve">Picking state</t>
  </si>
  <si>
    <t xml:space="preserve">Dispatch triggers ledger entry. Branch notified. Status = dispatched.</t>
  </si>
  <si>
    <t xml:space="preserve">E05-009</t>
  </si>
  <si>
    <t xml:space="preserve">Branch receiving workflow</t>
  </si>
  <si>
    <t xml:space="preserve">Branch confirms receipt. Can accept, partially accept, or flag discrepancies per line.</t>
  </si>
  <si>
    <t xml:space="preserve">Dispatch</t>
  </si>
  <si>
    <t xml:space="preserve">Branch receives, posts branch_receipt to ledger. Discrepancies recorded.</t>
  </si>
  <si>
    <t xml:space="preserve">E05-010</t>
  </si>
  <si>
    <t xml:space="preserve">Discrepancy handling</t>
  </si>
  <si>
    <t xml:space="preserve">When received qty differs from dispatched, discrepancy is recorded with reason.</t>
  </si>
  <si>
    <t xml:space="preserve">Receiving</t>
  </si>
  <si>
    <t xml:space="preserve">Discrepancies captured, tracked, resolved. Ledger reflects final quantity.</t>
  </si>
  <si>
    <t xml:space="preserve">E05-011</t>
  </si>
  <si>
    <t xml:space="preserve">Route grouping</t>
  </si>
  <si>
    <t xml:space="preserve">Group branches by delivery route for efficient dispatch batching.</t>
  </si>
  <si>
    <t xml:space="preserve">Epic 5 MVP</t>
  </si>
  <si>
    <t xml:space="preserve">Dispatch batches grouped by route. Route label visible on dispatch screen.</t>
  </si>
  <si>
    <t xml:space="preserve">E05-012</t>
  </si>
  <si>
    <t xml:space="preserve">Branch priority rules</t>
  </si>
  <si>
    <t xml:space="preserve">Flag high-priority branches affecting fulfillment order when stock is limited.</t>
  </si>
  <si>
    <t xml:space="preserve">High-priority branches appear first in warehouse review queue.</t>
  </si>
  <si>
    <t xml:space="preserve">E06-001</t>
  </si>
  <si>
    <t xml:space="preserve">E6: Transfers</t>
  </si>
  <si>
    <t xml:space="preserve">Create stock_transfers and transfer_lines tables</t>
  </si>
  <si>
    <t xml:space="preserve">Tables: id, tenant_id, source_location, destination_location, transfer_type, status, lines (item, qty, unit), history.</t>
  </si>
  <si>
    <t xml:space="preserve">Tables created with correct schema, indexes, and FK constraints.</t>
  </si>
  <si>
    <t xml:space="preserve">E06-002</t>
  </si>
  <si>
    <t xml:space="preserve">Warehouse-to-warehouse transfer</t>
  </si>
  <si>
    <t xml:space="preserve">Move stock between two warehouses. Posts transfer_out from source, transfer_in to destination on confirmation.</t>
  </si>
  <si>
    <t xml:space="preserve">Transfer tables, Epic 3</t>
  </si>
  <si>
    <t xml:space="preserve">Transfer lifecycle works. Both ledger entries post correctly on receive.</t>
  </si>
  <si>
    <t xml:space="preserve">E06-003</t>
  </si>
  <si>
    <t xml:space="preserve">Warehouse-to-branch transfer</t>
  </si>
  <si>
    <t xml:space="preserve">Direct stock movement from warehouse to branch outside replenishment workflow.</t>
  </si>
  <si>
    <t xml:space="preserve">Transfer tables</t>
  </si>
  <si>
    <t xml:space="preserve">Transfer creates correct ledger entries. Not confused with replenishment orders.</t>
  </si>
  <si>
    <t xml:space="preserve">E06-004</t>
  </si>
  <si>
    <t xml:space="preserve">Branch return to warehouse</t>
  </si>
  <si>
    <t xml:space="preserve">Branch returns stock to warehouse. Posts branch_return and warehouse_return_in.</t>
  </si>
  <si>
    <t xml:space="preserve">Return workflow creates two ledger entries. Both balances updated correctly.</t>
  </si>
  <si>
    <t xml:space="preserve">E06-005</t>
  </si>
  <si>
    <t xml:space="preserve">Transfer status lifecycle</t>
  </si>
  <si>
    <t xml:space="preserve">Implement: draft → approved → dispatched → received → cancelled. Each transition logged.</t>
  </si>
  <si>
    <t xml:space="preserve">Invalid transitions rejected. Full history recorded.</t>
  </si>
  <si>
    <t xml:space="preserve">E06-006</t>
  </si>
  <si>
    <t xml:space="preserve">Transfer history and audit trail</t>
  </si>
  <si>
    <t xml:space="preserve">Every status change recorded with actor and timestamp.</t>
  </si>
  <si>
    <t xml:space="preserve">Status lifecycle</t>
  </si>
  <si>
    <t xml:space="preserve">Full audit trail available for any transfer.</t>
  </si>
  <si>
    <t xml:space="preserve">E06-007</t>
  </si>
  <si>
    <t xml:space="preserve">Emergency transfer</t>
  </si>
  <si>
    <t xml:space="preserve">Expedited transfer bypassing normal approval, going directly to dispatched.</t>
  </si>
  <si>
    <t xml:space="preserve">Transfer lifecycle</t>
  </si>
  <si>
    <t xml:space="preserve">Emergency transfers skip approval step. Flagged clearly in history.</t>
  </si>
  <si>
    <t xml:space="preserve">E06-008</t>
  </si>
  <si>
    <t xml:space="preserve">Partial receive on transfers</t>
  </si>
  <si>
    <t xml:space="preserve">Destination can receive a subset of transferred items.</t>
  </si>
  <si>
    <t xml:space="preserve">Partial receipt recorded. Remaining items stay in transit.</t>
  </si>
  <si>
    <t xml:space="preserve">E07-001</t>
  </si>
  <si>
    <t xml:space="preserve">E7: Procurement</t>
  </si>
  <si>
    <t xml:space="preserve">Create suppliers table</t>
  </si>
  <si>
    <t xml:space="preserve">Fields: id, tenant_id, name, code, contact_name, phone, email, address, active, created_at.</t>
  </si>
  <si>
    <t xml:space="preserve">Supplier CRUD works. Tenant-scoped. Searchable.</t>
  </si>
  <si>
    <t xml:space="preserve">E07-002</t>
  </si>
  <si>
    <t xml:space="preserve">Create supplier_items mapping</t>
  </si>
  <si>
    <t xml:space="preserve">Link items to suppliers: supplier_id, item_id, supplier_sku, unit_price, lead_time_days, is_preferred.</t>
  </si>
  <si>
    <t xml:space="preserve">Suppliers, Epic 2</t>
  </si>
  <si>
    <t xml:space="preserve">Items linked to multiple suppliers. Preferred supplier flagged.</t>
  </si>
  <si>
    <t xml:space="preserve">E07-003</t>
  </si>
  <si>
    <t xml:space="preserve">Create purchase_orders and PO_lines tables</t>
  </si>
  <si>
    <t xml:space="preserve">PO header: tenant_id, supplier_id, status, ordered_at, expected_delivery_date. Lines: item_id, qty, unit, unit_price.</t>
  </si>
  <si>
    <t xml:space="preserve">supplier_items</t>
  </si>
  <si>
    <t xml:space="preserve">PO can be created, edited (while draft), and submitted for approval.</t>
  </si>
  <si>
    <t xml:space="preserve">E07-004</t>
  </si>
  <si>
    <t xml:space="preserve">PO approval workflow</t>
  </si>
  <si>
    <t xml:space="preserve">PO moves through: draft → submitted → approved → ordered → partially_received → received → cancelled.</t>
  </si>
  <si>
    <t xml:space="preserve">PO tables</t>
  </si>
  <si>
    <t xml:space="preserve">Approval workflow works. Each transition logged. Invalid transitions rejected.</t>
  </si>
  <si>
    <t xml:space="preserve">E07-005</t>
  </si>
  <si>
    <t xml:space="preserve">Goods receiving (partial and full)</t>
  </si>
  <si>
    <t xml:space="preserve">Record received quantities per line. Partial receipt supported. Each receipt posts to ledger.</t>
  </si>
  <si>
    <t xml:space="preserve">Epic 3 ledger, PO approval</t>
  </si>
  <si>
    <t xml:space="preserve">Receiving creates purchase_receipt ledger entry. Stock increases correctly.</t>
  </si>
  <si>
    <t xml:space="preserve">E07-006</t>
  </si>
  <si>
    <t xml:space="preserve">Rejection reasons on receiving</t>
  </si>
  <si>
    <t xml:space="preserve">Receiving user can reject items per line with a reason.</t>
  </si>
  <si>
    <t xml:space="preserve">Goods receiving</t>
  </si>
  <si>
    <t xml:space="preserve">Rejections recorded per line. Rejected stock not added to inventory.</t>
  </si>
  <si>
    <t xml:space="preserve">E07-007</t>
  </si>
  <si>
    <t xml:space="preserve">Supplier returns</t>
  </si>
  <si>
    <t xml:space="preserve">Create a supplier return document for rejected/expired items. Posts reversal to ledger.</t>
  </si>
  <si>
    <t xml:space="preserve">Epic 3, Goods receiving</t>
  </si>
  <si>
    <t xml:space="preserve">Supplier return reduces stock. Ledger entry created. Return linked to original receipt.</t>
  </si>
  <si>
    <t xml:space="preserve">E07-008</t>
  </si>
  <si>
    <t xml:space="preserve">Basic supplier performance metrics</t>
  </si>
  <si>
    <t xml:space="preserve">Track: fill rate, average lead time, rejection rate per supplier.</t>
  </si>
  <si>
    <t xml:space="preserve">Epic 10 partial</t>
  </si>
  <si>
    <t xml:space="preserve">Metrics calculated from transaction history. Visible on supplier profile.</t>
  </si>
  <si>
    <t xml:space="preserve">E07-009</t>
  </si>
  <si>
    <t xml:space="preserve">Landed cost tracking</t>
  </si>
  <si>
    <t xml:space="preserve">Add landed cost to PO receipts and factor into stock valuation.</t>
  </si>
  <si>
    <t xml:space="preserve">Epic 3 valuation hooks</t>
  </si>
  <si>
    <t xml:space="preserve">Landed cost stored per receipt line. Included in valuation.</t>
  </si>
  <si>
    <t xml:space="preserve">E07-010</t>
  </si>
  <si>
    <t xml:space="preserve">Invoice matching</t>
  </si>
  <si>
    <t xml:space="preserve">Match supplier invoice against PO and receipt to verify amounts.</t>
  </si>
  <si>
    <t xml:space="preserve">Three-way match (PO, receipt, invoice) supported. Discrepancies flagged.</t>
  </si>
  <si>
    <t xml:space="preserve">E08-001</t>
  </si>
  <si>
    <t xml:space="preserve">E8: WH Workspace</t>
  </si>
  <si>
    <t xml:space="preserve">Warehouse main dashboard</t>
  </si>
  <si>
    <t xml:space="preserve">Landing page: pending orders, open picking tasks, dispatch ready, low stock alerts, open counts.</t>
  </si>
  <si>
    <t xml:space="preserve">Epics 3,5,6,7</t>
  </si>
  <si>
    <t xml:space="preserve">Warehouse user sees operational status at a glance. All counts are accurate.</t>
  </si>
  <si>
    <t xml:space="preserve">E08-002</t>
  </si>
  <si>
    <t xml:space="preserve">Receiving queue screen</t>
  </si>
  <si>
    <t xml:space="preserve">List of dispatched orders and transfers awaiting receiving confirmation. Filterable and sortable.</t>
  </si>
  <si>
    <t xml:space="preserve">Epic 5 dispatch, Epic 6</t>
  </si>
  <si>
    <t xml:space="preserve">Warehouse receiver sees all pending items. Can click through to process each.</t>
  </si>
  <si>
    <t xml:space="preserve">E08-003</t>
  </si>
  <si>
    <t xml:space="preserve">Picking queue screen</t>
  </si>
  <si>
    <t xml:space="preserve">All approved requests needing picking, sorted by priority and grouped by storage zone.</t>
  </si>
  <si>
    <t xml:space="preserve">Epic 5 picking state</t>
  </si>
  <si>
    <t xml:space="preserve">Picker sees optimized list. Can mark items as picked.</t>
  </si>
  <si>
    <t xml:space="preserve">E08-004</t>
  </si>
  <si>
    <t xml:space="preserve">Dispatch queue screen</t>
  </si>
  <si>
    <t xml:space="preserve">All picked orders ready for dispatch. Dispatcher confirms dispatch triggering ledger entry.</t>
  </si>
  <si>
    <t xml:space="preserve">Epic 5 dispatch</t>
  </si>
  <si>
    <t xml:space="preserve">Dispatcher sees pick-complete orders only. Dispatch action is idempotent.</t>
  </si>
  <si>
    <t xml:space="preserve">E08-005</t>
  </si>
  <si>
    <t xml:space="preserve">Low stock and pending action widgets</t>
  </si>
  <si>
    <t xml:space="preserve">Dashboard widgets: items below reorder_point and tasks requiring action.</t>
  </si>
  <si>
    <t xml:space="preserve">Epic 3, Epic 5</t>
  </si>
  <si>
    <t xml:space="preserve">Widgets show accurate counts. Clicking drills into the relevant list.</t>
  </si>
  <si>
    <t xml:space="preserve">E08-006</t>
  </si>
  <si>
    <t xml:space="preserve">Transfer queue screen</t>
  </si>
  <si>
    <t xml:space="preserve">Open transfers (inbound/outbound) for this warehouse. Status at a glance.</t>
  </si>
  <si>
    <t xml:space="preserve">Epic 6</t>
  </si>
  <si>
    <t xml:space="preserve">Warehouse user sees all transfer activity. Can act on pending items.</t>
  </si>
  <si>
    <t xml:space="preserve">E08-007</t>
  </si>
  <si>
    <t xml:space="preserve">Count queue screen</t>
  </si>
  <si>
    <t xml:space="preserve">Open or overdue count sessions. Links to entry and approval screens.</t>
  </si>
  <si>
    <t xml:space="preserve">Count queue shows sessions by status. Overdue highlighted.</t>
  </si>
  <si>
    <t xml:space="preserve">E08-008</t>
  </si>
  <si>
    <t xml:space="preserve">Operator-specific task filters</t>
  </si>
  <si>
    <t xml:space="preserve">Filter queues to show only tasks for a specific operator or zone.</t>
  </si>
  <si>
    <t xml:space="preserve">Epic 8 MVP</t>
  </si>
  <si>
    <t xml:space="preserve">Filter persists per user session.</t>
  </si>
  <si>
    <t xml:space="preserve">E08-009</t>
  </si>
  <si>
    <t xml:space="preserve">Workload balancing view</t>
  </si>
  <si>
    <t xml:space="preserve">Manager view showing task distribution across warehouse operators.</t>
  </si>
  <si>
    <t xml:space="preserve">Manager sees operator workload. Can reassign tasks.</t>
  </si>
  <si>
    <t xml:space="preserve">E09-001</t>
  </si>
  <si>
    <t xml:space="preserve">E9: Branch Workspace</t>
  </si>
  <si>
    <t xml:space="preserve">Branch stock view screen</t>
  </si>
  <si>
    <t xml:space="preserve">Current stock levels for all items at this branch. Color-coded for low/ok/overstock.</t>
  </si>
  <si>
    <t xml:space="preserve">Branch user sees accurate, current stock. Low stock items highlighted.</t>
  </si>
  <si>
    <t xml:space="preserve">E09-002</t>
  </si>
  <si>
    <t xml:space="preserve">Daily count screen (offline-tolerant)</t>
  </si>
  <si>
    <t xml:space="preserve">Enter daily count quantities. Draft auto-saved locally every 30s. Retry on reconnect. Double-submit blocked.</t>
  </si>
  <si>
    <t xml:space="preserve">Epic 4, Epic 1 offline</t>
  </si>
  <si>
    <t xml:space="preserve">Draft never lost. Submit idempotent. Sync state always visible.</t>
  </si>
  <si>
    <t xml:space="preserve">E09-003</t>
  </si>
  <si>
    <t xml:space="preserve">Branch request screen</t>
  </si>
  <si>
    <t xml:space="preserve">Create or edit a replenishment request. Draft persisted locally. Idempotent submit.</t>
  </si>
  <si>
    <t xml:space="preserve">Epic 5, Epic 1 offline</t>
  </si>
  <si>
    <t xml:space="preserve">Request submitted once regardless of retries. Draft recoverable.</t>
  </si>
  <si>
    <t xml:space="preserve">E09-004</t>
  </si>
  <si>
    <t xml:space="preserve">Branch receiving screen</t>
  </si>
  <si>
    <t xml:space="preserve">Confirm receipt of dispatched items. Record discrepancies per line. Draft persisted.</t>
  </si>
  <si>
    <t xml:space="preserve">Epic 5 receiving, Epic 1 offline</t>
  </si>
  <si>
    <t xml:space="preserve">Receiving submitted idempotently. Discrepancies captured. Draft not lost.</t>
  </si>
  <si>
    <t xml:space="preserve">E09-005</t>
  </si>
  <si>
    <t xml:space="preserve">Exception request screen</t>
  </si>
  <si>
    <t xml:space="preserve">Branch raises ad-hoc urgent request with reason and required date.</t>
  </si>
  <si>
    <t xml:space="preserve">Epic 5</t>
  </si>
  <si>
    <t xml:space="preserve">Exception request created with reason. Flagged as high priority in warehouse queue.</t>
  </si>
  <si>
    <t xml:space="preserve">E09-006</t>
  </si>
  <si>
    <t xml:space="preserve">Build unified draft persistence hook/service</t>
  </si>
  <si>
    <t xml:space="preserve">Shared frontend hook saving form state to localStorage on change. Restores on page load.</t>
  </si>
  <si>
    <t xml:space="preserve">Epic 1 offline approach</t>
  </si>
  <si>
    <t xml:space="preserve">All branch screens share the same draft mechanism. No per-screen duplication.</t>
  </si>
  <si>
    <t xml:space="preserve">E09-007</t>
  </si>
  <si>
    <t xml:space="preserve">Build unified retry queue service</t>
  </si>
  <si>
    <t xml:space="preserve">Shared frontend service queuing failed API calls and retrying with exponential backoff.</t>
  </si>
  <si>
    <t xml:space="preserve">Draft persistence</t>
  </si>
  <si>
    <t xml:space="preserve">Failed submissions queued. Retry happens transparently. User sees queue status.</t>
  </si>
  <si>
    <t xml:space="preserve">E09-008</t>
  </si>
  <si>
    <t xml:space="preserve">Sync status indicator component</t>
  </si>
  <si>
    <t xml:space="preserve">Reusable UI component: Saved / Syncing / Synced / Retry Failed. Used on all branch screens.</t>
  </si>
  <si>
    <t xml:space="preserve">Draft + retry services</t>
  </si>
  <si>
    <t xml:space="preserve">User always knows save/sync state. No silent failures.</t>
  </si>
  <si>
    <t xml:space="preserve">E09-009</t>
  </si>
  <si>
    <t xml:space="preserve">Double-submit protection</t>
  </si>
  <si>
    <t xml:space="preserve">Submit buttons disabled after first click until response received. Backend rejects duplicates via idempotency.</t>
  </si>
  <si>
    <t xml:space="preserve">Idempotency contract (Epic 1)</t>
  </si>
  <si>
    <t xml:space="preserve">Clicking submit multiple times never results in duplicate server operations.</t>
  </si>
  <si>
    <t xml:space="preserve">E09-010</t>
  </si>
  <si>
    <t xml:space="preserve">Guided branch workflows</t>
  </si>
  <si>
    <t xml:space="preserve">Step-by-step wizard mode for less experienced staff (count, receive, request flows).</t>
  </si>
  <si>
    <t xml:space="preserve">Epic 9 MVP</t>
  </si>
  <si>
    <t xml:space="preserve">Guided mode walks user through each step with validation.</t>
  </si>
  <si>
    <t xml:space="preserve">E09-011</t>
  </si>
  <si>
    <t xml:space="preserve">Assisted receiving flow</t>
  </si>
  <si>
    <t xml:space="preserve">System pre-flags discrepancies by comparing expected vs. actual on receive.</t>
  </si>
  <si>
    <t xml:space="preserve">Discrepancies pre-flagged. User confirms or overrides.</t>
  </si>
  <si>
    <t xml:space="preserve">E10-001</t>
  </si>
  <si>
    <t xml:space="preserve">E10: Reporting</t>
  </si>
  <si>
    <t xml:space="preserve">Report service layer</t>
  </si>
  <si>
    <t xml:space="preserve">Create dedicated ReportService centralizing all report queries. No report logic in routers.</t>
  </si>
  <si>
    <t xml:space="preserve">Epics 3,4,5,7</t>
  </si>
  <si>
    <t xml:space="preserve">All report endpoints delegate to ReportService. No duplicate aggregation logic.</t>
  </si>
  <si>
    <t xml:space="preserve">E10-002</t>
  </si>
  <si>
    <t xml:space="preserve">Stock on hand report</t>
  </si>
  <si>
    <t xml:space="preserve">Current stock levels across all locations. Filterable by warehouse, branch, item, category.</t>
  </si>
  <si>
    <t xml:space="preserve">Report service, Epic 3</t>
  </si>
  <si>
    <t xml:space="preserve">Report shows accurate current balances matching ledger totals.</t>
  </si>
  <si>
    <t xml:space="preserve">E10-003</t>
  </si>
  <si>
    <t xml:space="preserve">Low stock report</t>
  </si>
  <si>
    <t xml:space="preserve">Items below reorder_point or safety_stock across all locations. Sorted by urgency.</t>
  </si>
  <si>
    <t xml:space="preserve">Stock on hand</t>
  </si>
  <si>
    <t xml:space="preserve">Report shows items needing attention. Drill-down to item detail.</t>
  </si>
  <si>
    <t xml:space="preserve">E10-004</t>
  </si>
  <si>
    <t xml:space="preserve">Branch variance report</t>
  </si>
  <si>
    <t xml:space="preserve">Summary of count variances per branch over a date range. Variance %, trend, top items.</t>
  </si>
  <si>
    <t xml:space="preserve">Epic 4 count sessions</t>
  </si>
  <si>
    <t xml:space="preserve">Report shows branch compliance and variance trends.</t>
  </si>
  <si>
    <t xml:space="preserve">E10-005</t>
  </si>
  <si>
    <t xml:space="preserve">Warehouse fulfillment rate</t>
  </si>
  <si>
    <t xml:space="preserve">% of replenishment request lines fulfilled fully and on time, per warehouse per period.</t>
  </si>
  <si>
    <t xml:space="preserve">Epic 5 receiving</t>
  </si>
  <si>
    <t xml:space="preserve">Report shows fulfillment rate by warehouse, period, and category.</t>
  </si>
  <si>
    <t xml:space="preserve">E10-006</t>
  </si>
  <si>
    <t xml:space="preserve">Basic stock valuation report</t>
  </si>
  <si>
    <t xml:space="preserve">Stock on hand × unit cost per item/location.</t>
  </si>
  <si>
    <t xml:space="preserve">Epic 7 valuation hooks</t>
  </si>
  <si>
    <t xml:space="preserve">Valuation report shows total stock value by location and category.</t>
  </si>
  <si>
    <t xml:space="preserve">E10-007</t>
  </si>
  <si>
    <t xml:space="preserve">Overstock report</t>
  </si>
  <si>
    <t xml:space="preserve">Items significantly above max_stock level. Flag for redistribution or purchase pause.</t>
  </si>
  <si>
    <t xml:space="preserve">Report shows overstocked items with excess quantity and suggested action.</t>
  </si>
  <si>
    <t xml:space="preserve">E10-008</t>
  </si>
  <si>
    <t xml:space="preserve">Dead stock report</t>
  </si>
  <si>
    <t xml:space="preserve">Items with zero movement for a configurable period (default 90 days).</t>
  </si>
  <si>
    <t xml:space="preserve">Epic 3 movement history</t>
  </si>
  <si>
    <t xml:space="preserve">Report shows items, last movement date, and current quantity.</t>
  </si>
  <si>
    <t xml:space="preserve">E10-009</t>
  </si>
  <si>
    <t xml:space="preserve">Supplier fill rate</t>
  </si>
  <si>
    <t xml:space="preserve">% of PO lines delivered on time and in full, per supplier per period.</t>
  </si>
  <si>
    <t xml:space="preserve">Epic 7 receiving</t>
  </si>
  <si>
    <t xml:space="preserve">Report shows supplier reliability metrics.</t>
  </si>
  <si>
    <t xml:space="preserve">E10-010</t>
  </si>
  <si>
    <t xml:space="preserve">Order turnaround report</t>
  </si>
  <si>
    <t xml:space="preserve">Average time from request creation to delivery confirmation.</t>
  </si>
  <si>
    <t xml:space="preserve">Epic 5 workflows</t>
  </si>
  <si>
    <t xml:space="preserve">Report shows operational speed and bottlenecks.</t>
  </si>
  <si>
    <t xml:space="preserve">E10-011</t>
  </si>
  <si>
    <t xml:space="preserve">Count compliance report</t>
  </si>
  <si>
    <t xml:space="preserve">% of branches/warehouses submitting counts on time.</t>
  </si>
  <si>
    <t xml:space="preserve">Report shows which locations are compliant and which are overdue.</t>
  </si>
  <si>
    <t xml:space="preserve">E10-012</t>
  </si>
  <si>
    <t xml:space="preserve">Executive scorecard dashboard</t>
  </si>
  <si>
    <t xml:space="preserve">Single-page summary: stock health, fulfillment rate, supplier performance, branch compliance.</t>
  </si>
  <si>
    <t xml:space="preserve">All reports MVP</t>
  </si>
  <si>
    <t xml:space="preserve">Scorecard auto-updates. Exportable as PDF.</t>
  </si>
  <si>
    <t xml:space="preserve">E10-013</t>
  </si>
  <si>
    <t xml:space="preserve">Export center</t>
  </si>
  <si>
    <t xml:space="preserve">Centralized export for all reports to Excel, CSV, or PDF.</t>
  </si>
  <si>
    <t xml:space="preserve">Epic 10 MVP</t>
  </si>
  <si>
    <t xml:space="preserve">Any report exportable in supported formats.</t>
  </si>
  <si>
    <t xml:space="preserve">E11-001</t>
  </si>
  <si>
    <t xml:space="preserve">E11: Reorder Engine</t>
  </si>
  <si>
    <t xml:space="preserve">Build min/max reorder logic</t>
  </si>
  <si>
    <t xml:space="preserve">If current stock &lt; reorder_point, generate recommendation to reorder up to max_stock.</t>
  </si>
  <si>
    <t xml:space="preserve">Recommendations generated correctly for all items below reorder_point.</t>
  </si>
  <si>
    <t xml:space="preserve">E11-002</t>
  </si>
  <si>
    <t xml:space="preserve">Calculate recent average consumption</t>
  </si>
  <si>
    <t xml:space="preserve">Compute average daily/weekly consumption per item per location from ledger history (configurable period).</t>
  </si>
  <si>
    <t xml:space="preserve">Consumption figure calculated, stored, refreshed on schedule.</t>
  </si>
  <si>
    <t xml:space="preserve">E11-003</t>
  </si>
  <si>
    <t xml:space="preserve">Lead time awareness in recommendations</t>
  </si>
  <si>
    <t xml:space="preserve">Adjust suggested order quantity to ensure stock won't run out during lead time.</t>
  </si>
  <si>
    <t xml:space="preserve">Avg consumption, lead_time_days</t>
  </si>
  <si>
    <t xml:space="preserve">Recommendations factor in lead time. Edge case: zero lead time handled.</t>
  </si>
  <si>
    <t xml:space="preserve">E11-004</t>
  </si>
  <si>
    <t xml:space="preserve">Safety stock floor in recommendations</t>
  </si>
  <si>
    <t xml:space="preserve">Recommended order includes buffer above safety_stock level, not just reorder_point.</t>
  </si>
  <si>
    <t xml:space="preserve">Min/max logic</t>
  </si>
  <si>
    <t xml:space="preserve">Safety stock floor respected in all recommendations.</t>
  </si>
  <si>
    <t xml:space="preserve">E11-005</t>
  </si>
  <si>
    <t xml:space="preserve">Branch replenishment suggestion list</t>
  </si>
  <si>
    <t xml:space="preserve">API and screen showing suggested replenishment per branch: item, current stock, suggested qty, basis.</t>
  </si>
  <si>
    <t xml:space="preserve">Branch suggestion list is readable, actionable, and explains its own logic.</t>
  </si>
  <si>
    <t xml:space="preserve">E11-006</t>
  </si>
  <si>
    <t xml:space="preserve">Purchase suggestion list</t>
  </si>
  <si>
    <t xml:space="preserve">API and screen showing suggested POs per supplier, grouped by supplier.</t>
  </si>
  <si>
    <t xml:space="preserve">All above, Epic 7</t>
  </si>
  <si>
    <t xml:space="preserve">Purchase suggestions group by supplier. Can be converted to PO draft.</t>
  </si>
  <si>
    <t xml:space="preserve">E11-007</t>
  </si>
  <si>
    <t xml:space="preserve">Weighted recent consumption</t>
  </si>
  <si>
    <t xml:space="preserve">Give higher weight to recent periods vs. older periods in consumption calculation.</t>
  </si>
  <si>
    <t xml:space="preserve">Avg consumption</t>
  </si>
  <si>
    <t xml:space="preserve">Weighted average is more responsive to recent demand changes.</t>
  </si>
  <si>
    <t xml:space="preserve">E11-008</t>
  </si>
  <si>
    <t xml:space="preserve">Branch class adjustments</t>
  </si>
  <si>
    <t xml:space="preserve">Apply different reorder multipliers for high-volume vs. low-volume branches.</t>
  </si>
  <si>
    <t xml:space="preserve">Epic 2 branch policies</t>
  </si>
  <si>
    <t xml:space="preserve">Recommendations scaled by branch class.</t>
  </si>
  <si>
    <t xml:space="preserve">E12-001</t>
  </si>
  <si>
    <t xml:space="preserve">E12: Sales Linkage</t>
  </si>
  <si>
    <t xml:space="preserve">Create sales_summaries table</t>
  </si>
  <si>
    <t xml:space="preserve">Fields: id, tenant_id, branch_id, date, total_sales_amount, total_items_sold, source, created_at. Indexes on (branch_id, date, tenant_id).</t>
  </si>
  <si>
    <t xml:space="preserve">Table created with correct schema and indexes.</t>
  </si>
  <si>
    <t xml:space="preserve">E12-002</t>
  </si>
  <si>
    <t xml:space="preserve">Create sales_summary_lines table</t>
  </si>
  <si>
    <t xml:space="preserve">Item-level sales: summary_id, item_id, qty_sold, unit, sales_amount.</t>
  </si>
  <si>
    <t xml:space="preserve">sales_summaries</t>
  </si>
  <si>
    <t xml:space="preserve">Table created with correct FK constraints.</t>
  </si>
  <si>
    <t xml:space="preserve">E12-003</t>
  </si>
  <si>
    <t xml:space="preserve">Manual sales entry screen</t>
  </si>
  <si>
    <t xml:space="preserve">Branch or HQ enters daily sales totals manually per branch per day.</t>
  </si>
  <si>
    <t xml:space="preserve">Sales tables</t>
  </si>
  <si>
    <t xml:space="preserve">Manual entry works. Duplicate entry for same branch/date prevented.</t>
  </si>
  <si>
    <t xml:space="preserve">E12-004</t>
  </si>
  <si>
    <t xml:space="preserve">CSV import for sales summaries</t>
  </si>
  <si>
    <t xml:space="preserve">Upload CSV with daily sales data per branch/item. Validates format, reports errors by row.</t>
  </si>
  <si>
    <t xml:space="preserve">Import validates, inserts clean rows, reports errors. Idempotent.</t>
  </si>
  <si>
    <t xml:space="preserve">E12-005</t>
  </si>
  <si>
    <t xml:space="preserve">Sales feed into consumption reports</t>
  </si>
  <si>
    <t xml:space="preserve">Sales data visible in Epic 10 reports as consumption signal.</t>
  </si>
  <si>
    <t xml:space="preserve">Epic 10 report service</t>
  </si>
  <si>
    <t xml:space="preserve">Sales data integrated into branch consumption analysis.</t>
  </si>
  <si>
    <t xml:space="preserve">E12-006</t>
  </si>
  <si>
    <t xml:space="preserve">Sales data feeds recommendation engine</t>
  </si>
  <si>
    <t xml:space="preserve">Epic 11 engine optionally uses sales data when ledger consumption is insufficient.</t>
  </si>
  <si>
    <t xml:space="preserve">Epic 11</t>
  </si>
  <si>
    <t xml:space="preserve">Recommendation engine can switch between ledger-based and sales-based consumption.</t>
  </si>
  <si>
    <t xml:space="preserve">E12-007</t>
  </si>
  <si>
    <t xml:space="preserve">External POS sync adapters</t>
  </si>
  <si>
    <t xml:space="preserve">API integration to pull sales data automatically from external POS systems.</t>
  </si>
  <si>
    <t xml:space="preserve">Adapter runs on schedule. Handles failures gracefully.</t>
  </si>
  <si>
    <t xml:space="preserve">E12-008</t>
  </si>
  <si>
    <t xml:space="preserve">Sales anomaly detection</t>
  </si>
  <si>
    <t xml:space="preserve">Flag statistical outliers in daily sales for review.</t>
  </si>
  <si>
    <t xml:space="preserve">Epic 12 MVP</t>
  </si>
  <si>
    <t xml:space="preserve">Anomalies flagged in reporting. Threshold configurable.</t>
  </si>
  <si>
    <t xml:space="preserve">E13-001</t>
  </si>
  <si>
    <t xml:space="preserve">E13: SaaS Readiness</t>
  </si>
  <si>
    <t xml:space="preserve">Apply tenant_id to all core business tables</t>
  </si>
  <si>
    <t xml:space="preserve">Audit all tables. Add tenant_id where missing. Run migrations. Update all queries to filter by tenant_id.</t>
  </si>
  <si>
    <t xml:space="preserve">All Epics</t>
  </si>
  <si>
    <t xml:space="preserve">No business table lacks tenant_id. All queries are tenant-scoped.</t>
  </si>
  <si>
    <t xml:space="preserve">Groundwork from Epic 1. Full enforcement here.</t>
  </si>
  <si>
    <t xml:space="preserve">E13-002</t>
  </si>
  <si>
    <t xml:space="preserve">Tenant-scoped authentication</t>
  </si>
  <si>
    <t xml:space="preserve">Auth tokens carry tenant context. All API requests resolve to a tenant. Cross-tenant access impossible.</t>
  </si>
  <si>
    <t xml:space="preserve">tenant_id migration</t>
  </si>
  <si>
    <t xml:space="preserve">User from Tenant A cannot access Tenant B data under any circumstances.</t>
  </si>
  <si>
    <t xml:space="preserve">E13-003</t>
  </si>
  <si>
    <t xml:space="preserve">Tenant-aware query enforcement</t>
  </si>
  <si>
    <t xml:space="preserve">Middleware automatically appends tenant_id filter to all DB queries.</t>
  </si>
  <si>
    <t xml:space="preserve">Tenant-scoped auth</t>
  </si>
  <si>
    <t xml:space="preserve">Tenant filter applied at ORM level. Impossible to forget on a new endpoint.</t>
  </si>
  <si>
    <t xml:space="preserve">E13-004</t>
  </si>
  <si>
    <t xml:space="preserve">Tenant settings table</t>
  </si>
  <si>
    <t xml:space="preserve">Per-tenant configuration: currency, timezone, count frequency, min/max defaults, feature toggles.</t>
  </si>
  <si>
    <t xml:space="preserve">Settings stored and applied per tenant. New tenant gets sensible defaults.</t>
  </si>
  <si>
    <t xml:space="preserve">E13-005</t>
  </si>
  <si>
    <t xml:space="preserve">Tenant seed strategy</t>
  </si>
  <si>
    <t xml:space="preserve">Separate seed data for local dev, demo environment, and production onboarding.</t>
  </si>
  <si>
    <t xml:space="preserve">Tenant settings</t>
  </si>
  <si>
    <t xml:space="preserve">Three seed modes exist. Production onboarding creates clean, minimal data.</t>
  </si>
  <si>
    <t xml:space="preserve">E13-006</t>
  </si>
  <si>
    <t xml:space="preserve">Tenant-safe audit logs</t>
  </si>
  <si>
    <t xml:space="preserve">Audit logs are tenant-scoped. Tenant admin sees only their own audit trail.</t>
  </si>
  <si>
    <t xml:space="preserve">Audit log queries always filter by tenant_id.</t>
  </si>
  <si>
    <t xml:space="preserve">E13-007</t>
  </si>
  <si>
    <t xml:space="preserve">Tenant-safe idempotency verification</t>
  </si>
  <si>
    <t xml:space="preserve">Verify idempotency_requests enforcement is complete across all tenants.</t>
  </si>
  <si>
    <t xml:space="preserve">Idempotency table (Epic 1)</t>
  </si>
  <si>
    <t xml:space="preserve">Idempotency records cannot leak across tenants.</t>
  </si>
  <si>
    <t xml:space="preserve">E13-008</t>
  </si>
  <si>
    <t xml:space="preserve">Feature flags per tenant</t>
  </si>
  <si>
    <t xml:space="preserve">Toggle features on/off per tenant without code deployment.</t>
  </si>
  <si>
    <t xml:space="preserve">Feature flag checked at runtime.</t>
  </si>
  <si>
    <t xml:space="preserve">E13-009</t>
  </si>
  <si>
    <t xml:space="preserve">Subscription plan skeleton</t>
  </si>
  <si>
    <t xml:space="preserve">Define plan tiers with feature sets. Associate tenant with a plan.</t>
  </si>
  <si>
    <t xml:space="preserve">Feature flags</t>
  </si>
  <si>
    <t xml:space="preserve">Plan limits enforced at API level.</t>
  </si>
  <si>
    <t xml:space="preserve">E13-010</t>
  </si>
  <si>
    <t xml:space="preserve">Tenant admin panel</t>
  </si>
  <si>
    <t xml:space="preserve">Dedicated UI for tenant admins to manage users, settings, and view analytics.</t>
  </si>
  <si>
    <t xml:space="preserve">Tenant admin can manage their environment independently.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</si>
</sst>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9"/>
      <color rgb="FF2E75B6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ED7D31"/>
      <name val="Arial"/>
      <family val="0"/>
      <charset val="1"/>
    </font>
    <font>
      <b val="true"/>
      <sz val="9"/>
      <color rgb="FF7F6000"/>
      <name val="Arial"/>
      <family val="0"/>
      <charset val="1"/>
    </font>
    <font>
      <b val="true"/>
      <sz val="9"/>
      <color rgb="FF37562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2E75B6"/>
        <bgColor rgb="FF4472C4"/>
      </patternFill>
    </fill>
    <fill>
      <patternFill patternType="solid">
        <fgColor rgb="FF4472C4"/>
        <bgColor rgb="FF2E75B6"/>
      </patternFill>
    </fill>
    <fill>
      <patternFill patternType="solid">
        <fgColor rgb="FF595959"/>
        <bgColor rgb="FF375623"/>
      </patternFill>
    </fill>
    <fill>
      <patternFill patternType="solid">
        <fgColor rgb="FFFF0000"/>
        <bgColor rgb="FFC00000"/>
      </patternFill>
    </fill>
    <fill>
      <patternFill patternType="solid">
        <fgColor rgb="FFED7D31"/>
        <bgColor rgb="FFFF8080"/>
      </patternFill>
    </fill>
    <fill>
      <patternFill patternType="solid">
        <fgColor rgb="FFFFF2CC"/>
        <bgColor rgb="FFFCE4D6"/>
      </patternFill>
    </fill>
    <fill>
      <patternFill patternType="solid">
        <fgColor rgb="FF375623"/>
        <bgColor rgb="FF595959"/>
      </patternFill>
    </fill>
    <fill>
      <patternFill patternType="solid">
        <fgColor rgb="FFDAE3F3"/>
        <bgColor rgb="FFD9D9D9"/>
      </patternFill>
    </fill>
    <fill>
      <patternFill patternType="solid">
        <fgColor rgb="FFFFFFFF"/>
        <bgColor rgb="FFF5F5F5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F5F5F5"/>
      </patternFill>
    </fill>
    <fill>
      <patternFill patternType="solid">
        <fgColor rgb="FF1F3864"/>
        <bgColor rgb="FF333399"/>
      </patternFill>
    </fill>
    <fill>
      <patternFill patternType="solid">
        <fgColor rgb="FFF5F5F5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1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12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7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11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DAE3F3"/>
      <rgbColor rgb="FF660066"/>
      <rgbColor rgb="FFFF8080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5F5F5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ED7D31"/>
      <rgbColor rgb="FF59595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42"/>
    <col collapsed="false" customWidth="true" hidden="false" outlineLevel="0" max="5" min="5" style="0" width="58"/>
    <col collapsed="false" customWidth="true" hidden="false" outlineLevel="0" max="6" min="6" style="0" width="45"/>
    <col collapsed="false" customWidth="true" hidden="false" outlineLevel="0" max="7" min="7" style="0" width="12"/>
    <col collapsed="false" customWidth="true" hidden="false" outlineLevel="0" max="8" min="8" style="0" width="60"/>
    <col collapsed="false" customWidth="true" hidden="false" outlineLevel="0" max="9" min="9" style="0" width="18"/>
    <col collapsed="false" customWidth="true" hidden="false" outlineLevel="0" max="10" min="10" style="0" width="12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8" hidden="false" customHeight="true" outlineLevel="0" collapsed="false"/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9.5" hidden="false" customHeight="true" outlineLevel="0" collapsed="false">
      <c r="A5" s="4" t="s">
        <v>3</v>
      </c>
      <c r="B5" s="5" t="s">
        <v>4</v>
      </c>
      <c r="C5" s="6" t="s">
        <v>5</v>
      </c>
      <c r="D5" s="7" t="s">
        <v>6</v>
      </c>
      <c r="E5" s="8" t="s">
        <v>7</v>
      </c>
      <c r="F5" s="4" t="s">
        <v>8</v>
      </c>
      <c r="G5" s="8" t="s">
        <v>9</v>
      </c>
    </row>
    <row r="6" customFormat="false" ht="27.75" hidden="false" customHeight="true" outlineLevel="0" collapsed="false">
      <c r="A6" s="9" t="n">
        <f aca="false">COUNTA(B9:B1000)-COUNTBLANK(B9:B1000)</f>
        <v>-934</v>
      </c>
      <c r="B6" s="10" t="n">
        <f aca="false">COUNTIF(C9:C1000,"Critical")</f>
        <v>0</v>
      </c>
      <c r="C6" s="11" t="n">
        <f aca="false">COUNTIF(C9:C1000,"High")</f>
        <v>0</v>
      </c>
      <c r="D6" s="12" t="n">
        <f aca="false">COUNTIF(C9:C1000,"Medium")</f>
        <v>0</v>
      </c>
      <c r="E6" s="13" t="n">
        <f aca="false">COUNTIF(C9:C1000,"Low")</f>
        <v>0</v>
      </c>
      <c r="F6" s="9" t="n">
        <f aca="false">COUNTIF(J9:J1000,"Open")</f>
        <v>28</v>
      </c>
      <c r="G6" s="13" t="n">
        <f aca="false">COUNTIF(J9:J1000,"Resolved")</f>
        <v>0</v>
      </c>
    </row>
    <row r="7" customFormat="false" ht="6" hidden="false" customHeight="true" outlineLevel="0" collapsed="false"/>
    <row r="8" customFormat="false" ht="6" hidden="false" customHeight="true" outlineLevel="0" collapsed="false"/>
    <row r="9" customFormat="false" ht="21.75" hidden="false" customHeight="true" outlineLevel="0" collapsed="false">
      <c r="A9" s="14" t="s">
        <v>10</v>
      </c>
      <c r="B9" s="14" t="s">
        <v>11</v>
      </c>
      <c r="C9" s="14" t="s">
        <v>12</v>
      </c>
      <c r="D9" s="14" t="s">
        <v>13</v>
      </c>
      <c r="E9" s="14" t="s">
        <v>14</v>
      </c>
      <c r="F9" s="14" t="s">
        <v>15</v>
      </c>
      <c r="G9" s="14" t="s">
        <v>16</v>
      </c>
      <c r="H9" s="14" t="s">
        <v>17</v>
      </c>
      <c r="I9" s="14" t="s">
        <v>18</v>
      </c>
      <c r="J9" s="14" t="s">
        <v>19</v>
      </c>
    </row>
    <row r="10" customFormat="false" ht="19.5" hidden="false" customHeight="true" outlineLevel="0" collapsed="false">
      <c r="A10" s="15" t="s">
        <v>20</v>
      </c>
      <c r="B10" s="15"/>
      <c r="C10" s="15"/>
      <c r="D10" s="15"/>
      <c r="E10" s="15"/>
      <c r="F10" s="15"/>
      <c r="G10" s="15"/>
      <c r="H10" s="15"/>
      <c r="I10" s="15"/>
      <c r="J10" s="15"/>
    </row>
    <row r="11" customFormat="false" ht="54.75" hidden="false" customHeight="true" outlineLevel="0" collapsed="false">
      <c r="A11" s="16" t="s">
        <v>21</v>
      </c>
      <c r="B11" s="17" t="s">
        <v>22</v>
      </c>
      <c r="C11" s="18" t="s">
        <v>4</v>
      </c>
      <c r="D11" s="19" t="s">
        <v>23</v>
      </c>
      <c r="E11" s="17" t="s">
        <v>24</v>
      </c>
      <c r="F11" s="17" t="s">
        <v>25</v>
      </c>
      <c r="G11" s="17" t="s">
        <v>26</v>
      </c>
      <c r="H11" s="17" t="s">
        <v>27</v>
      </c>
      <c r="I11" s="17" t="s">
        <v>28</v>
      </c>
      <c r="J11" s="18" t="s">
        <v>8</v>
      </c>
    </row>
    <row r="12" customFormat="false" ht="54.75" hidden="false" customHeight="true" outlineLevel="0" collapsed="false">
      <c r="A12" s="16" t="s">
        <v>29</v>
      </c>
      <c r="B12" s="20" t="s">
        <v>22</v>
      </c>
      <c r="C12" s="18" t="s">
        <v>4</v>
      </c>
      <c r="D12" s="21" t="s">
        <v>30</v>
      </c>
      <c r="E12" s="20" t="s">
        <v>31</v>
      </c>
      <c r="F12" s="20" t="s">
        <v>32</v>
      </c>
      <c r="G12" s="20" t="s">
        <v>26</v>
      </c>
      <c r="H12" s="20" t="s">
        <v>33</v>
      </c>
      <c r="I12" s="20" t="s">
        <v>28</v>
      </c>
      <c r="J12" s="18" t="s">
        <v>8</v>
      </c>
    </row>
    <row r="13" customFormat="false" ht="54.75" hidden="false" customHeight="true" outlineLevel="0" collapsed="false">
      <c r="A13" s="16" t="s">
        <v>34</v>
      </c>
      <c r="B13" s="17" t="s">
        <v>22</v>
      </c>
      <c r="C13" s="22" t="s">
        <v>5</v>
      </c>
      <c r="D13" s="19" t="s">
        <v>35</v>
      </c>
      <c r="E13" s="17" t="s">
        <v>36</v>
      </c>
      <c r="F13" s="17" t="s">
        <v>37</v>
      </c>
      <c r="G13" s="17" t="s">
        <v>38</v>
      </c>
      <c r="H13" s="17" t="s">
        <v>39</v>
      </c>
      <c r="I13" s="17" t="s">
        <v>28</v>
      </c>
      <c r="J13" s="18" t="s">
        <v>8</v>
      </c>
    </row>
    <row r="14" customFormat="false" ht="54.75" hidden="false" customHeight="true" outlineLevel="0" collapsed="false">
      <c r="A14" s="16" t="s">
        <v>40</v>
      </c>
      <c r="B14" s="20" t="s">
        <v>22</v>
      </c>
      <c r="C14" s="22" t="s">
        <v>5</v>
      </c>
      <c r="D14" s="21" t="s">
        <v>41</v>
      </c>
      <c r="E14" s="20" t="s">
        <v>42</v>
      </c>
      <c r="F14" s="20" t="s">
        <v>43</v>
      </c>
      <c r="G14" s="20" t="s">
        <v>38</v>
      </c>
      <c r="H14" s="20" t="s">
        <v>44</v>
      </c>
      <c r="I14" s="20" t="s">
        <v>28</v>
      </c>
      <c r="J14" s="18" t="s">
        <v>8</v>
      </c>
    </row>
    <row r="15" customFormat="false" ht="54.75" hidden="false" customHeight="true" outlineLevel="0" collapsed="false">
      <c r="A15" s="16" t="s">
        <v>45</v>
      </c>
      <c r="B15" s="17" t="s">
        <v>22</v>
      </c>
      <c r="C15" s="22" t="s">
        <v>5</v>
      </c>
      <c r="D15" s="19" t="s">
        <v>46</v>
      </c>
      <c r="E15" s="17" t="s">
        <v>47</v>
      </c>
      <c r="F15" s="17" t="s">
        <v>48</v>
      </c>
      <c r="G15" s="17" t="s">
        <v>26</v>
      </c>
      <c r="H15" s="17" t="s">
        <v>49</v>
      </c>
      <c r="I15" s="17" t="s">
        <v>28</v>
      </c>
      <c r="J15" s="18" t="s">
        <v>8</v>
      </c>
    </row>
    <row r="16" customFormat="false" ht="54.75" hidden="false" customHeight="true" outlineLevel="0" collapsed="false">
      <c r="A16" s="16" t="s">
        <v>50</v>
      </c>
      <c r="B16" s="23" t="s">
        <v>22</v>
      </c>
      <c r="C16" s="24" t="s">
        <v>6</v>
      </c>
      <c r="D16" s="25" t="s">
        <v>51</v>
      </c>
      <c r="E16" s="23" t="s">
        <v>52</v>
      </c>
      <c r="F16" s="23" t="s">
        <v>53</v>
      </c>
      <c r="G16" s="23" t="s">
        <v>38</v>
      </c>
      <c r="H16" s="23" t="s">
        <v>54</v>
      </c>
      <c r="I16" s="23" t="s">
        <v>28</v>
      </c>
      <c r="J16" s="18" t="s">
        <v>8</v>
      </c>
    </row>
    <row r="17" customFormat="false" ht="54.75" hidden="false" customHeight="true" outlineLevel="0" collapsed="false">
      <c r="A17" s="16" t="s">
        <v>55</v>
      </c>
      <c r="B17" s="17" t="s">
        <v>22</v>
      </c>
      <c r="C17" s="24" t="s">
        <v>6</v>
      </c>
      <c r="D17" s="19" t="s">
        <v>56</v>
      </c>
      <c r="E17" s="17" t="s">
        <v>57</v>
      </c>
      <c r="F17" s="17" t="s">
        <v>58</v>
      </c>
      <c r="G17" s="17" t="s">
        <v>26</v>
      </c>
      <c r="H17" s="17" t="s">
        <v>59</v>
      </c>
      <c r="I17" s="17" t="s">
        <v>28</v>
      </c>
      <c r="J17" s="18" t="s">
        <v>8</v>
      </c>
    </row>
    <row r="18" customFormat="false" ht="54.75" hidden="false" customHeight="true" outlineLevel="0" collapsed="false">
      <c r="A18" s="16" t="s">
        <v>60</v>
      </c>
      <c r="B18" s="26" t="s">
        <v>22</v>
      </c>
      <c r="C18" s="27" t="s">
        <v>7</v>
      </c>
      <c r="D18" s="28" t="s">
        <v>61</v>
      </c>
      <c r="E18" s="26" t="s">
        <v>62</v>
      </c>
      <c r="F18" s="26" t="s">
        <v>63</v>
      </c>
      <c r="G18" s="26" t="s">
        <v>38</v>
      </c>
      <c r="H18" s="26" t="s">
        <v>64</v>
      </c>
      <c r="I18" s="26" t="s">
        <v>28</v>
      </c>
      <c r="J18" s="18" t="s">
        <v>8</v>
      </c>
    </row>
    <row r="19" customFormat="false" ht="54.75" hidden="false" customHeight="true" outlineLevel="0" collapsed="false">
      <c r="A19" s="16" t="s">
        <v>65</v>
      </c>
      <c r="B19" s="17" t="s">
        <v>22</v>
      </c>
      <c r="C19" s="27" t="s">
        <v>7</v>
      </c>
      <c r="D19" s="19" t="s">
        <v>66</v>
      </c>
      <c r="E19" s="17" t="s">
        <v>67</v>
      </c>
      <c r="F19" s="17" t="s">
        <v>68</v>
      </c>
      <c r="G19" s="17" t="s">
        <v>38</v>
      </c>
      <c r="H19" s="17" t="s">
        <v>69</v>
      </c>
      <c r="I19" s="17" t="s">
        <v>28</v>
      </c>
      <c r="J19" s="18" t="s">
        <v>8</v>
      </c>
    </row>
    <row r="20" customFormat="false" ht="54.75" hidden="false" customHeight="true" outlineLevel="0" collapsed="false">
      <c r="A20" s="16" t="s">
        <v>70</v>
      </c>
      <c r="B20" s="26" t="s">
        <v>22</v>
      </c>
      <c r="C20" s="27" t="s">
        <v>7</v>
      </c>
      <c r="D20" s="28" t="s">
        <v>71</v>
      </c>
      <c r="E20" s="26" t="s">
        <v>72</v>
      </c>
      <c r="F20" s="26" t="s">
        <v>73</v>
      </c>
      <c r="G20" s="26" t="s">
        <v>26</v>
      </c>
      <c r="H20" s="26" t="s">
        <v>74</v>
      </c>
      <c r="I20" s="26" t="s">
        <v>28</v>
      </c>
      <c r="J20" s="18" t="s">
        <v>8</v>
      </c>
    </row>
    <row r="21" customFormat="false" ht="19.5" hidden="false" customHeight="true" outlineLevel="0" collapsed="false">
      <c r="A21" s="15" t="s">
        <v>75</v>
      </c>
      <c r="B21" s="15"/>
      <c r="C21" s="15"/>
      <c r="D21" s="15"/>
      <c r="E21" s="15"/>
      <c r="F21" s="15"/>
      <c r="G21" s="15"/>
      <c r="H21" s="15"/>
      <c r="I21" s="15"/>
      <c r="J21" s="15"/>
    </row>
    <row r="22" customFormat="false" ht="54.75" hidden="false" customHeight="true" outlineLevel="0" collapsed="false">
      <c r="A22" s="16" t="s">
        <v>76</v>
      </c>
      <c r="B22" s="20" t="s">
        <v>77</v>
      </c>
      <c r="C22" s="22" t="s">
        <v>5</v>
      </c>
      <c r="D22" s="21" t="s">
        <v>78</v>
      </c>
      <c r="E22" s="20" t="s">
        <v>79</v>
      </c>
      <c r="F22" s="20" t="s">
        <v>80</v>
      </c>
      <c r="G22" s="20" t="s">
        <v>38</v>
      </c>
      <c r="H22" s="20" t="s">
        <v>81</v>
      </c>
      <c r="I22" s="20" t="s">
        <v>28</v>
      </c>
      <c r="J22" s="18" t="s">
        <v>8</v>
      </c>
    </row>
    <row r="23" customFormat="false" ht="54.75" hidden="false" customHeight="true" outlineLevel="0" collapsed="false">
      <c r="A23" s="16" t="s">
        <v>82</v>
      </c>
      <c r="B23" s="17" t="s">
        <v>77</v>
      </c>
      <c r="C23" s="24" t="s">
        <v>6</v>
      </c>
      <c r="D23" s="19" t="s">
        <v>83</v>
      </c>
      <c r="E23" s="17" t="s">
        <v>84</v>
      </c>
      <c r="F23" s="17" t="s">
        <v>85</v>
      </c>
      <c r="G23" s="17" t="s">
        <v>38</v>
      </c>
      <c r="H23" s="17" t="s">
        <v>86</v>
      </c>
      <c r="I23" s="17" t="s">
        <v>28</v>
      </c>
      <c r="J23" s="18" t="s">
        <v>8</v>
      </c>
    </row>
    <row r="24" customFormat="false" ht="54.75" hidden="false" customHeight="true" outlineLevel="0" collapsed="false">
      <c r="A24" s="16" t="s">
        <v>87</v>
      </c>
      <c r="B24" s="23" t="s">
        <v>77</v>
      </c>
      <c r="C24" s="24" t="s">
        <v>6</v>
      </c>
      <c r="D24" s="25" t="s">
        <v>88</v>
      </c>
      <c r="E24" s="23" t="s">
        <v>89</v>
      </c>
      <c r="F24" s="23" t="s">
        <v>90</v>
      </c>
      <c r="G24" s="23" t="s">
        <v>26</v>
      </c>
      <c r="H24" s="23" t="s">
        <v>91</v>
      </c>
      <c r="I24" s="23" t="s">
        <v>28</v>
      </c>
      <c r="J24" s="18" t="s">
        <v>8</v>
      </c>
    </row>
    <row r="25" customFormat="false" ht="19.5" hidden="false" customHeight="true" outlineLevel="0" collapsed="false">
      <c r="A25" s="15" t="s">
        <v>92</v>
      </c>
      <c r="B25" s="15"/>
      <c r="C25" s="15"/>
      <c r="D25" s="15"/>
      <c r="E25" s="15"/>
      <c r="F25" s="15"/>
      <c r="G25" s="15"/>
      <c r="H25" s="15"/>
      <c r="I25" s="15"/>
      <c r="J25" s="15"/>
    </row>
    <row r="26" customFormat="false" ht="54.75" hidden="false" customHeight="true" outlineLevel="0" collapsed="false">
      <c r="A26" s="16" t="s">
        <v>93</v>
      </c>
      <c r="B26" s="20" t="s">
        <v>94</v>
      </c>
      <c r="C26" s="18" t="s">
        <v>4</v>
      </c>
      <c r="D26" s="21" t="s">
        <v>95</v>
      </c>
      <c r="E26" s="20" t="s">
        <v>96</v>
      </c>
      <c r="F26" s="20" t="s">
        <v>97</v>
      </c>
      <c r="G26" s="20" t="s">
        <v>98</v>
      </c>
      <c r="H26" s="20" t="s">
        <v>99</v>
      </c>
      <c r="I26" s="20" t="s">
        <v>28</v>
      </c>
      <c r="J26" s="18" t="s">
        <v>8</v>
      </c>
    </row>
    <row r="27" customFormat="false" ht="54.75" hidden="false" customHeight="true" outlineLevel="0" collapsed="false">
      <c r="A27" s="16" t="s">
        <v>100</v>
      </c>
      <c r="B27" s="17" t="s">
        <v>94</v>
      </c>
      <c r="C27" s="22" t="s">
        <v>5</v>
      </c>
      <c r="D27" s="19" t="s">
        <v>101</v>
      </c>
      <c r="E27" s="17" t="s">
        <v>102</v>
      </c>
      <c r="F27" s="17" t="s">
        <v>103</v>
      </c>
      <c r="G27" s="17" t="s">
        <v>26</v>
      </c>
      <c r="H27" s="17" t="s">
        <v>104</v>
      </c>
      <c r="I27" s="17" t="s">
        <v>28</v>
      </c>
      <c r="J27" s="18" t="s">
        <v>8</v>
      </c>
    </row>
    <row r="28" customFormat="false" ht="54.75" hidden="false" customHeight="true" outlineLevel="0" collapsed="false">
      <c r="A28" s="16" t="s">
        <v>105</v>
      </c>
      <c r="B28" s="20" t="s">
        <v>94</v>
      </c>
      <c r="C28" s="22" t="s">
        <v>5</v>
      </c>
      <c r="D28" s="21" t="s">
        <v>106</v>
      </c>
      <c r="E28" s="20" t="s">
        <v>107</v>
      </c>
      <c r="F28" s="20" t="s">
        <v>108</v>
      </c>
      <c r="G28" s="20" t="s">
        <v>98</v>
      </c>
      <c r="H28" s="20" t="s">
        <v>109</v>
      </c>
      <c r="I28" s="20" t="s">
        <v>28</v>
      </c>
      <c r="J28" s="18" t="s">
        <v>8</v>
      </c>
    </row>
    <row r="29" customFormat="false" ht="54.75" hidden="false" customHeight="true" outlineLevel="0" collapsed="false">
      <c r="A29" s="16" t="s">
        <v>110</v>
      </c>
      <c r="B29" s="17" t="s">
        <v>94</v>
      </c>
      <c r="C29" s="22" t="s">
        <v>5</v>
      </c>
      <c r="D29" s="19" t="s">
        <v>111</v>
      </c>
      <c r="E29" s="17" t="s">
        <v>112</v>
      </c>
      <c r="F29" s="17" t="s">
        <v>113</v>
      </c>
      <c r="G29" s="17" t="s">
        <v>26</v>
      </c>
      <c r="H29" s="17" t="s">
        <v>114</v>
      </c>
      <c r="I29" s="17" t="s">
        <v>28</v>
      </c>
      <c r="J29" s="18" t="s">
        <v>8</v>
      </c>
    </row>
    <row r="30" customFormat="false" ht="19.5" hidden="false" customHeight="true" outlineLevel="0" collapsed="false">
      <c r="A30" s="15" t="s">
        <v>115</v>
      </c>
      <c r="B30" s="15"/>
      <c r="C30" s="15"/>
      <c r="D30" s="15"/>
      <c r="E30" s="15"/>
      <c r="F30" s="15"/>
      <c r="G30" s="15"/>
      <c r="H30" s="15"/>
      <c r="I30" s="15"/>
      <c r="J30" s="15"/>
    </row>
    <row r="31" customFormat="false" ht="54.75" hidden="false" customHeight="true" outlineLevel="0" collapsed="false">
      <c r="A31" s="16" t="s">
        <v>116</v>
      </c>
      <c r="B31" s="17" t="s">
        <v>117</v>
      </c>
      <c r="C31" s="22" t="s">
        <v>5</v>
      </c>
      <c r="D31" s="19" t="s">
        <v>118</v>
      </c>
      <c r="E31" s="17" t="s">
        <v>119</v>
      </c>
      <c r="F31" s="17" t="s">
        <v>120</v>
      </c>
      <c r="G31" s="17" t="s">
        <v>98</v>
      </c>
      <c r="H31" s="17" t="s">
        <v>121</v>
      </c>
      <c r="I31" s="17" t="s">
        <v>28</v>
      </c>
      <c r="J31" s="18" t="s">
        <v>8</v>
      </c>
    </row>
    <row r="32" customFormat="false" ht="54.75" hidden="false" customHeight="true" outlineLevel="0" collapsed="false">
      <c r="A32" s="16" t="s">
        <v>122</v>
      </c>
      <c r="B32" s="20" t="s">
        <v>117</v>
      </c>
      <c r="C32" s="22" t="s">
        <v>5</v>
      </c>
      <c r="D32" s="21" t="s">
        <v>123</v>
      </c>
      <c r="E32" s="20" t="s">
        <v>124</v>
      </c>
      <c r="F32" s="20" t="s">
        <v>125</v>
      </c>
      <c r="G32" s="20" t="s">
        <v>98</v>
      </c>
      <c r="H32" s="20" t="s">
        <v>126</v>
      </c>
      <c r="I32" s="20" t="s">
        <v>28</v>
      </c>
      <c r="J32" s="18" t="s">
        <v>8</v>
      </c>
    </row>
    <row r="33" customFormat="false" ht="54.75" hidden="false" customHeight="true" outlineLevel="0" collapsed="false">
      <c r="A33" s="16" t="s">
        <v>127</v>
      </c>
      <c r="B33" s="17" t="s">
        <v>117</v>
      </c>
      <c r="C33" s="24" t="s">
        <v>6</v>
      </c>
      <c r="D33" s="19" t="s">
        <v>128</v>
      </c>
      <c r="E33" s="17" t="s">
        <v>129</v>
      </c>
      <c r="F33" s="17" t="s">
        <v>130</v>
      </c>
      <c r="G33" s="17" t="s">
        <v>26</v>
      </c>
      <c r="H33" s="17" t="s">
        <v>131</v>
      </c>
      <c r="I33" s="17" t="s">
        <v>28</v>
      </c>
      <c r="J33" s="18" t="s">
        <v>8</v>
      </c>
    </row>
    <row r="34" customFormat="false" ht="54.75" hidden="false" customHeight="true" outlineLevel="0" collapsed="false">
      <c r="A34" s="16" t="s">
        <v>132</v>
      </c>
      <c r="B34" s="23" t="s">
        <v>117</v>
      </c>
      <c r="C34" s="24" t="s">
        <v>6</v>
      </c>
      <c r="D34" s="25" t="s">
        <v>133</v>
      </c>
      <c r="E34" s="23" t="s">
        <v>134</v>
      </c>
      <c r="F34" s="23" t="s">
        <v>135</v>
      </c>
      <c r="G34" s="23" t="s">
        <v>98</v>
      </c>
      <c r="H34" s="23" t="s">
        <v>136</v>
      </c>
      <c r="I34" s="23" t="s">
        <v>28</v>
      </c>
      <c r="J34" s="18" t="s">
        <v>8</v>
      </c>
    </row>
    <row r="35" customFormat="false" ht="19.5" hidden="false" customHeight="true" outlineLevel="0" collapsed="false">
      <c r="A35" s="15" t="s">
        <v>137</v>
      </c>
      <c r="B35" s="15"/>
      <c r="C35" s="15"/>
      <c r="D35" s="15"/>
      <c r="E35" s="15"/>
      <c r="F35" s="15"/>
      <c r="G35" s="15"/>
      <c r="H35" s="15"/>
      <c r="I35" s="15"/>
      <c r="J35" s="15"/>
    </row>
    <row r="36" customFormat="false" ht="54.75" hidden="false" customHeight="true" outlineLevel="0" collapsed="false">
      <c r="A36" s="16" t="s">
        <v>138</v>
      </c>
      <c r="B36" s="23" t="s">
        <v>139</v>
      </c>
      <c r="C36" s="24" t="s">
        <v>6</v>
      </c>
      <c r="D36" s="25" t="s">
        <v>140</v>
      </c>
      <c r="E36" s="23" t="s">
        <v>141</v>
      </c>
      <c r="F36" s="23" t="s">
        <v>142</v>
      </c>
      <c r="G36" s="23" t="s">
        <v>26</v>
      </c>
      <c r="H36" s="23" t="s">
        <v>143</v>
      </c>
      <c r="I36" s="23" t="s">
        <v>28</v>
      </c>
      <c r="J36" s="18" t="s">
        <v>8</v>
      </c>
    </row>
    <row r="37" customFormat="false" ht="54.75" hidden="false" customHeight="true" outlineLevel="0" collapsed="false">
      <c r="A37" s="16" t="s">
        <v>144</v>
      </c>
      <c r="B37" s="17" t="s">
        <v>139</v>
      </c>
      <c r="C37" s="24" t="s">
        <v>6</v>
      </c>
      <c r="D37" s="19" t="s">
        <v>145</v>
      </c>
      <c r="E37" s="17" t="s">
        <v>146</v>
      </c>
      <c r="F37" s="17" t="s">
        <v>147</v>
      </c>
      <c r="G37" s="17" t="s">
        <v>26</v>
      </c>
      <c r="H37" s="17" t="s">
        <v>148</v>
      </c>
      <c r="I37" s="17" t="s">
        <v>28</v>
      </c>
      <c r="J37" s="18" t="s">
        <v>8</v>
      </c>
    </row>
    <row r="38" customFormat="false" ht="54.75" hidden="false" customHeight="true" outlineLevel="0" collapsed="false">
      <c r="A38" s="16" t="s">
        <v>149</v>
      </c>
      <c r="B38" s="26" t="s">
        <v>139</v>
      </c>
      <c r="C38" s="27" t="s">
        <v>7</v>
      </c>
      <c r="D38" s="28" t="s">
        <v>150</v>
      </c>
      <c r="E38" s="26" t="s">
        <v>151</v>
      </c>
      <c r="F38" s="26" t="s">
        <v>152</v>
      </c>
      <c r="G38" s="26" t="s">
        <v>153</v>
      </c>
      <c r="H38" s="26" t="s">
        <v>154</v>
      </c>
      <c r="I38" s="26" t="s">
        <v>28</v>
      </c>
      <c r="J38" s="18" t="s">
        <v>8</v>
      </c>
    </row>
    <row r="39" customFormat="false" ht="54.75" hidden="false" customHeight="true" outlineLevel="0" collapsed="false">
      <c r="A39" s="16" t="s">
        <v>155</v>
      </c>
      <c r="B39" s="17" t="s">
        <v>139</v>
      </c>
      <c r="C39" s="27" t="s">
        <v>7</v>
      </c>
      <c r="D39" s="19" t="s">
        <v>156</v>
      </c>
      <c r="E39" s="17" t="s">
        <v>157</v>
      </c>
      <c r="F39" s="17" t="s">
        <v>158</v>
      </c>
      <c r="G39" s="17" t="s">
        <v>38</v>
      </c>
      <c r="H39" s="17" t="s">
        <v>159</v>
      </c>
      <c r="I39" s="17" t="s">
        <v>28</v>
      </c>
      <c r="J39" s="18" t="s">
        <v>8</v>
      </c>
    </row>
    <row r="40" customFormat="false" ht="54.75" hidden="false" customHeight="true" outlineLevel="0" collapsed="false">
      <c r="A40" s="16" t="s">
        <v>160</v>
      </c>
      <c r="B40" s="26" t="s">
        <v>139</v>
      </c>
      <c r="C40" s="27" t="s">
        <v>7</v>
      </c>
      <c r="D40" s="28" t="s">
        <v>161</v>
      </c>
      <c r="E40" s="26" t="s">
        <v>162</v>
      </c>
      <c r="F40" s="26" t="s">
        <v>163</v>
      </c>
      <c r="G40" s="26" t="s">
        <v>153</v>
      </c>
      <c r="H40" s="26" t="s">
        <v>164</v>
      </c>
      <c r="I40" s="26" t="s">
        <v>28</v>
      </c>
      <c r="J40" s="18" t="s">
        <v>8</v>
      </c>
    </row>
    <row r="41" customFormat="false" ht="54.75" hidden="false" customHeight="true" outlineLevel="0" collapsed="false">
      <c r="A41" s="16" t="s">
        <v>165</v>
      </c>
      <c r="B41" s="17" t="s">
        <v>139</v>
      </c>
      <c r="C41" s="27" t="s">
        <v>7</v>
      </c>
      <c r="D41" s="19" t="s">
        <v>166</v>
      </c>
      <c r="E41" s="17" t="s">
        <v>167</v>
      </c>
      <c r="F41" s="17" t="s">
        <v>168</v>
      </c>
      <c r="G41" s="17" t="s">
        <v>38</v>
      </c>
      <c r="H41" s="17" t="s">
        <v>169</v>
      </c>
      <c r="I41" s="17" t="s">
        <v>28</v>
      </c>
      <c r="J41" s="18" t="s">
        <v>8</v>
      </c>
    </row>
    <row r="42" customFormat="false" ht="54.75" hidden="false" customHeight="true" outlineLevel="0" collapsed="false">
      <c r="A42" s="16" t="s">
        <v>170</v>
      </c>
      <c r="B42" s="26" t="s">
        <v>139</v>
      </c>
      <c r="C42" s="27" t="s">
        <v>7</v>
      </c>
      <c r="D42" s="28" t="s">
        <v>171</v>
      </c>
      <c r="E42" s="26" t="s">
        <v>172</v>
      </c>
      <c r="F42" s="26" t="s">
        <v>173</v>
      </c>
      <c r="G42" s="26" t="s">
        <v>26</v>
      </c>
      <c r="H42" s="26" t="s">
        <v>174</v>
      </c>
      <c r="I42" s="26" t="s">
        <v>28</v>
      </c>
      <c r="J42" s="18" t="s">
        <v>8</v>
      </c>
    </row>
    <row r="44" customFormat="false" ht="18" hidden="false" customHeight="true" outlineLevel="0" collapsed="false">
      <c r="A44" s="29" t="s">
        <v>175</v>
      </c>
      <c r="B44" s="29"/>
      <c r="C44" s="29"/>
      <c r="D44" s="29"/>
      <c r="E44" s="29"/>
      <c r="F44" s="29"/>
      <c r="G44" s="29"/>
      <c r="H44" s="29"/>
      <c r="I44" s="29"/>
      <c r="J44" s="29"/>
    </row>
  </sheetData>
  <mergeCells count="9">
    <mergeCell ref="A1:J1"/>
    <mergeCell ref="A2:J2"/>
    <mergeCell ref="A4:J4"/>
    <mergeCell ref="A10:J10"/>
    <mergeCell ref="A21:J21"/>
    <mergeCell ref="A25:J25"/>
    <mergeCell ref="A30:J30"/>
    <mergeCell ref="A35:J35"/>
    <mergeCell ref="A44:J44"/>
  </mergeCells>
  <dataValidations count="1">
    <dataValidation allowBlank="false" error="Please choose from: Open, In Progress, Resolved, Deferred, Won't Fix" errorStyle="stop" errorTitle="Invalid Status" operator="between" showDropDown="false" showErrorMessage="true" showInputMessage="false" sqref="J10:J44" type="list">
      <formula1>"Open,In Progress,Resolved,Deferred,Won't Fix"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0" width="26"/>
    <col collapsed="false" customWidth="true" hidden="false" outlineLevel="0" max="2" min="2" style="30" width="30"/>
    <col collapsed="false" customWidth="true" hidden="false" outlineLevel="0" max="3" min="3" style="30" width="55"/>
  </cols>
  <sheetData>
    <row r="1" customFormat="false" ht="31.5" hidden="false" customHeight="true" outlineLevel="0" collapsed="false">
      <c r="A1" s="31" t="s">
        <v>176</v>
      </c>
      <c r="B1" s="31"/>
      <c r="C1" s="31"/>
    </row>
    <row r="2" customFormat="false" ht="21.75" hidden="false" customHeight="true" outlineLevel="0" collapsed="false">
      <c r="A2" s="32" t="s">
        <v>177</v>
      </c>
      <c r="B2" s="32"/>
      <c r="C2" s="32"/>
    </row>
    <row r="3" customFormat="false" ht="18" hidden="false" customHeight="true" outlineLevel="0" collapsed="false">
      <c r="A3" s="33" t="s">
        <v>178</v>
      </c>
      <c r="B3" s="33" t="s">
        <v>179</v>
      </c>
      <c r="C3" s="33" t="s">
        <v>180</v>
      </c>
    </row>
    <row r="4" customFormat="false" ht="18" hidden="false" customHeight="true" outlineLevel="0" collapsed="false">
      <c r="A4" s="34" t="s">
        <v>181</v>
      </c>
      <c r="B4" s="34" t="s">
        <v>182</v>
      </c>
      <c r="C4" s="34" t="s">
        <v>183</v>
      </c>
    </row>
    <row r="5" customFormat="false" ht="18" hidden="false" customHeight="true" outlineLevel="0" collapsed="false">
      <c r="A5" s="33" t="s">
        <v>184</v>
      </c>
      <c r="B5" s="33" t="s">
        <v>185</v>
      </c>
      <c r="C5" s="33" t="s">
        <v>186</v>
      </c>
    </row>
    <row r="6" customFormat="false" ht="18" hidden="false" customHeight="true" outlineLevel="0" collapsed="false">
      <c r="A6" s="34" t="s">
        <v>187</v>
      </c>
      <c r="B6" s="34" t="s">
        <v>188</v>
      </c>
      <c r="C6" s="34" t="s">
        <v>189</v>
      </c>
    </row>
    <row r="7" customFormat="false" ht="18" hidden="false" customHeight="true" outlineLevel="0" collapsed="false">
      <c r="A7" s="33" t="s">
        <v>190</v>
      </c>
      <c r="B7" s="33" t="s">
        <v>191</v>
      </c>
      <c r="C7" s="33" t="s">
        <v>192</v>
      </c>
    </row>
    <row r="9" customFormat="false" ht="21.75" hidden="false" customHeight="true" outlineLevel="0" collapsed="false">
      <c r="A9" s="32" t="s">
        <v>193</v>
      </c>
      <c r="B9" s="32"/>
      <c r="C9" s="32"/>
    </row>
    <row r="10" customFormat="false" ht="18" hidden="false" customHeight="true" outlineLevel="0" collapsed="false">
      <c r="A10" s="33" t="s">
        <v>194</v>
      </c>
      <c r="B10" s="33" t="s">
        <v>195</v>
      </c>
      <c r="C10" s="33" t="s">
        <v>196</v>
      </c>
    </row>
    <row r="11" customFormat="false" ht="18" hidden="false" customHeight="true" outlineLevel="0" collapsed="false">
      <c r="A11" s="34" t="s">
        <v>197</v>
      </c>
      <c r="B11" s="34" t="s">
        <v>198</v>
      </c>
      <c r="C11" s="34" t="s">
        <v>199</v>
      </c>
    </row>
    <row r="12" customFormat="false" ht="18" hidden="false" customHeight="true" outlineLevel="0" collapsed="false">
      <c r="A12" s="33" t="s">
        <v>200</v>
      </c>
      <c r="B12" s="33" t="s">
        <v>201</v>
      </c>
      <c r="C12" s="33" t="s">
        <v>202</v>
      </c>
    </row>
    <row r="14" customFormat="false" ht="21.75" hidden="false" customHeight="true" outlineLevel="0" collapsed="false">
      <c r="A14" s="32" t="s">
        <v>203</v>
      </c>
      <c r="B14" s="32"/>
      <c r="C14" s="32"/>
    </row>
    <row r="15" customFormat="false" ht="18" hidden="false" customHeight="true" outlineLevel="0" collapsed="false">
      <c r="A15" s="33" t="s">
        <v>204</v>
      </c>
      <c r="B15" s="33" t="s">
        <v>205</v>
      </c>
      <c r="C15" s="33" t="s">
        <v>206</v>
      </c>
    </row>
    <row r="16" customFormat="false" ht="18" hidden="false" customHeight="true" outlineLevel="0" collapsed="false">
      <c r="A16" s="34" t="s">
        <v>207</v>
      </c>
      <c r="B16" s="34" t="s">
        <v>208</v>
      </c>
      <c r="C16" s="34" t="s">
        <v>209</v>
      </c>
    </row>
    <row r="18" customFormat="false" ht="21.75" hidden="false" customHeight="true" outlineLevel="0" collapsed="false">
      <c r="A18" s="32" t="s">
        <v>210</v>
      </c>
      <c r="B18" s="32"/>
      <c r="C18" s="32"/>
    </row>
    <row r="19" customFormat="false" ht="18" hidden="false" customHeight="true" outlineLevel="0" collapsed="false">
      <c r="A19" s="35" t="s">
        <v>211</v>
      </c>
      <c r="B19" s="35" t="s">
        <v>212</v>
      </c>
      <c r="C19" s="35" t="s">
        <v>213</v>
      </c>
    </row>
    <row r="20" customFormat="false" ht="18" hidden="false" customHeight="true" outlineLevel="0" collapsed="false">
      <c r="A20" s="36" t="s">
        <v>201</v>
      </c>
      <c r="B20" s="36" t="s">
        <v>214</v>
      </c>
      <c r="C20" s="36" t="s">
        <v>215</v>
      </c>
    </row>
    <row r="22" customFormat="false" ht="21.75" hidden="false" customHeight="true" outlineLevel="0" collapsed="false">
      <c r="A22" s="32" t="s">
        <v>216</v>
      </c>
      <c r="B22" s="32"/>
      <c r="C22" s="32"/>
    </row>
    <row r="23" customFormat="false" ht="15" hidden="false" customHeight="true" outlineLevel="0" collapsed="false">
      <c r="A23" s="33" t="s">
        <v>217</v>
      </c>
      <c r="B23" s="33" t="s">
        <v>218</v>
      </c>
      <c r="C23" s="33" t="s">
        <v>219</v>
      </c>
    </row>
    <row r="24" customFormat="false" ht="15" hidden="false" customHeight="true" outlineLevel="0" collapsed="false">
      <c r="A24" s="34" t="s">
        <v>220</v>
      </c>
      <c r="B24" s="34" t="s">
        <v>221</v>
      </c>
      <c r="C24" s="34"/>
    </row>
    <row r="25" customFormat="false" ht="15" hidden="false" customHeight="true" outlineLevel="0" collapsed="false">
      <c r="A25" s="33" t="s">
        <v>222</v>
      </c>
      <c r="B25" s="33" t="s">
        <v>223</v>
      </c>
      <c r="C25" s="33" t="s">
        <v>224</v>
      </c>
    </row>
    <row r="26" customFormat="false" ht="15" hidden="false" customHeight="true" outlineLevel="0" collapsed="false">
      <c r="A26" s="34" t="s">
        <v>225</v>
      </c>
      <c r="B26" s="34" t="s">
        <v>226</v>
      </c>
      <c r="C26" s="34" t="s">
        <v>227</v>
      </c>
    </row>
    <row r="27" customFormat="false" ht="15" hidden="false" customHeight="true" outlineLevel="0" collapsed="false">
      <c r="A27" s="33" t="s">
        <v>228</v>
      </c>
      <c r="B27" s="33" t="s">
        <v>229</v>
      </c>
      <c r="C27" s="33"/>
    </row>
    <row r="28" customFormat="false" ht="15" hidden="false" customHeight="true" outlineLevel="0" collapsed="false">
      <c r="A28" s="34" t="s">
        <v>230</v>
      </c>
      <c r="B28" s="34" t="s">
        <v>231</v>
      </c>
      <c r="C28" s="34"/>
    </row>
    <row r="29" customFormat="false" ht="15" hidden="false" customHeight="true" outlineLevel="0" collapsed="false">
      <c r="A29" s="33" t="s">
        <v>232</v>
      </c>
      <c r="B29" s="33" t="s">
        <v>233</v>
      </c>
      <c r="C29" s="33"/>
    </row>
    <row r="30" customFormat="false" ht="15" hidden="false" customHeight="true" outlineLevel="0" collapsed="false">
      <c r="A30" s="34" t="s">
        <v>234</v>
      </c>
      <c r="B30" s="34" t="s">
        <v>235</v>
      </c>
      <c r="C30" s="34"/>
    </row>
    <row r="31" customFormat="false" ht="15" hidden="false" customHeight="true" outlineLevel="0" collapsed="false">
      <c r="A31" s="33" t="s">
        <v>236</v>
      </c>
      <c r="B31" s="33" t="s">
        <v>237</v>
      </c>
      <c r="C31" s="33"/>
    </row>
    <row r="32" customFormat="false" ht="15" hidden="false" customHeight="true" outlineLevel="0" collapsed="false">
      <c r="A32" s="34" t="s">
        <v>238</v>
      </c>
      <c r="B32" s="34" t="s">
        <v>239</v>
      </c>
      <c r="C32" s="34"/>
    </row>
    <row r="33" customFormat="false" ht="15" hidden="false" customHeight="true" outlineLevel="0" collapsed="false">
      <c r="A33" s="33" t="s">
        <v>240</v>
      </c>
      <c r="B33" s="33" t="s">
        <v>241</v>
      </c>
      <c r="C33" s="33" t="s">
        <v>242</v>
      </c>
    </row>
    <row r="34" customFormat="false" ht="15" hidden="false" customHeight="true" outlineLevel="0" collapsed="false">
      <c r="A34" s="34" t="s">
        <v>243</v>
      </c>
      <c r="B34" s="34" t="s">
        <v>244</v>
      </c>
      <c r="C34" s="34" t="s">
        <v>245</v>
      </c>
    </row>
    <row r="35" customFormat="false" ht="15" hidden="false" customHeight="true" outlineLevel="0" collapsed="false">
      <c r="A35" s="33" t="s">
        <v>246</v>
      </c>
      <c r="B35" s="33" t="s">
        <v>247</v>
      </c>
      <c r="C35" s="33" t="s">
        <v>248</v>
      </c>
    </row>
  </sheetData>
  <mergeCells count="6">
    <mergeCell ref="A1:C1"/>
    <mergeCell ref="A2:C2"/>
    <mergeCell ref="A9:C9"/>
    <mergeCell ref="A14:C14"/>
    <mergeCell ref="A18:C18"/>
    <mergeCell ref="A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0" width="28"/>
    <col collapsed="false" customWidth="true" hidden="false" outlineLevel="0" max="2" min="2" style="30" width="55"/>
    <col collapsed="false" customWidth="true" hidden="false" outlineLevel="0" max="3" min="3" style="30" width="40"/>
  </cols>
  <sheetData>
    <row r="1" customFormat="false" ht="31.5" hidden="false" customHeight="true" outlineLevel="0" collapsed="false">
      <c r="A1" s="31" t="s">
        <v>249</v>
      </c>
      <c r="B1" s="31"/>
      <c r="C1" s="31"/>
    </row>
    <row r="2" customFormat="false" ht="15" hidden="false" customHeight="true" outlineLevel="0" collapsed="false">
      <c r="A2" s="37" t="s">
        <v>250</v>
      </c>
      <c r="B2" s="37" t="s">
        <v>251</v>
      </c>
      <c r="C2" s="37" t="s">
        <v>252</v>
      </c>
    </row>
    <row r="3" customFormat="false" ht="39.75" hidden="false" customHeight="true" outlineLevel="0" collapsed="false">
      <c r="A3" s="33" t="s">
        <v>253</v>
      </c>
      <c r="B3" s="33" t="s">
        <v>254</v>
      </c>
      <c r="C3" s="33" t="s">
        <v>255</v>
      </c>
    </row>
    <row r="4" customFormat="false" ht="39.75" hidden="false" customHeight="true" outlineLevel="0" collapsed="false">
      <c r="A4" s="34" t="s">
        <v>256</v>
      </c>
      <c r="B4" s="34" t="s">
        <v>257</v>
      </c>
      <c r="C4" s="34" t="s">
        <v>258</v>
      </c>
    </row>
    <row r="5" customFormat="false" ht="39.75" hidden="false" customHeight="true" outlineLevel="0" collapsed="false">
      <c r="A5" s="33" t="s">
        <v>259</v>
      </c>
      <c r="B5" s="33" t="s">
        <v>260</v>
      </c>
      <c r="C5" s="33" t="s">
        <v>261</v>
      </c>
    </row>
    <row r="6" customFormat="false" ht="39.75" hidden="false" customHeight="true" outlineLevel="0" collapsed="false">
      <c r="A6" s="34" t="s">
        <v>262</v>
      </c>
      <c r="B6" s="34" t="s">
        <v>263</v>
      </c>
      <c r="C6" s="34" t="s">
        <v>264</v>
      </c>
    </row>
    <row r="7" customFormat="false" ht="39.75" hidden="false" customHeight="true" outlineLevel="0" collapsed="false">
      <c r="A7" s="33" t="s">
        <v>265</v>
      </c>
      <c r="B7" s="33" t="s">
        <v>266</v>
      </c>
      <c r="C7" s="33" t="s">
        <v>267</v>
      </c>
    </row>
    <row r="8" customFormat="false" ht="39.75" hidden="false" customHeight="true" outlineLevel="0" collapsed="false">
      <c r="A8" s="34" t="s">
        <v>268</v>
      </c>
      <c r="B8" s="34" t="s">
        <v>269</v>
      </c>
      <c r="C8" s="34" t="s">
        <v>270</v>
      </c>
    </row>
    <row r="9" customFormat="false" ht="64.5" hidden="false" customHeight="true" outlineLevel="0" collapsed="false">
      <c r="A9" s="33" t="s">
        <v>271</v>
      </c>
      <c r="B9" s="33" t="s">
        <v>272</v>
      </c>
      <c r="C9" s="33" t="s">
        <v>273</v>
      </c>
    </row>
    <row r="10" customFormat="false" ht="39.75" hidden="false" customHeight="true" outlineLevel="0" collapsed="false">
      <c r="A10" s="34" t="s">
        <v>274</v>
      </c>
      <c r="B10" s="34" t="s">
        <v>275</v>
      </c>
      <c r="C10" s="34" t="s">
        <v>276</v>
      </c>
    </row>
    <row r="11" customFormat="false" ht="39.75" hidden="false" customHeight="true" outlineLevel="0" collapsed="false">
      <c r="A11" s="33" t="s">
        <v>277</v>
      </c>
      <c r="B11" s="33" t="s">
        <v>278</v>
      </c>
      <c r="C11" s="33" t="s">
        <v>279</v>
      </c>
    </row>
    <row r="12" customFormat="false" ht="39.75" hidden="false" customHeight="true" outlineLevel="0" collapsed="false">
      <c r="A12" s="34" t="s">
        <v>280</v>
      </c>
      <c r="B12" s="34" t="s">
        <v>281</v>
      </c>
      <c r="C12" s="34" t="s">
        <v>282</v>
      </c>
    </row>
    <row r="13" customFormat="false" ht="39.75" hidden="false" customHeight="true" outlineLevel="0" collapsed="false">
      <c r="A13" s="33" t="s">
        <v>283</v>
      </c>
      <c r="B13" s="33" t="s">
        <v>284</v>
      </c>
      <c r="C13" s="33" t="s">
        <v>285</v>
      </c>
    </row>
    <row r="14" customFormat="false" ht="39.75" hidden="false" customHeight="true" outlineLevel="0" collapsed="false">
      <c r="A14" s="34" t="s">
        <v>286</v>
      </c>
      <c r="B14" s="34" t="s">
        <v>287</v>
      </c>
      <c r="C14" s="34"/>
    </row>
    <row r="15" customFormat="false" ht="39.75" hidden="false" customHeight="true" outlineLevel="0" collapsed="false">
      <c r="A15" s="33" t="s">
        <v>288</v>
      </c>
      <c r="B15" s="33" t="s">
        <v>289</v>
      </c>
      <c r="C15" s="33" t="s">
        <v>290</v>
      </c>
    </row>
    <row r="16" customFormat="false" ht="39.75" hidden="false" customHeight="true" outlineLevel="0" collapsed="false">
      <c r="A16" s="34" t="s">
        <v>291</v>
      </c>
      <c r="B16" s="34" t="s">
        <v>292</v>
      </c>
      <c r="C16" s="34" t="s">
        <v>293</v>
      </c>
    </row>
    <row r="17" customFormat="false" ht="39.75" hidden="false" customHeight="true" outlineLevel="0" collapsed="false">
      <c r="A17" s="33" t="s">
        <v>294</v>
      </c>
      <c r="B17" s="33" t="s">
        <v>295</v>
      </c>
      <c r="C17" s="33" t="s">
        <v>296</v>
      </c>
    </row>
    <row r="18" customFormat="false" ht="94.5" hidden="false" customHeight="true" outlineLevel="0" collapsed="false">
      <c r="A18" s="34" t="s">
        <v>297</v>
      </c>
      <c r="B18" s="34" t="s">
        <v>298</v>
      </c>
      <c r="C18" s="34" t="s">
        <v>299</v>
      </c>
    </row>
    <row r="19" customFormat="false" ht="139.5" hidden="false" customHeight="true" outlineLevel="0" collapsed="false">
      <c r="A19" s="33" t="s">
        <v>300</v>
      </c>
      <c r="B19" s="33" t="s">
        <v>301</v>
      </c>
      <c r="C19" s="33" t="s">
        <v>302</v>
      </c>
    </row>
    <row r="20" customFormat="false" ht="39.75" hidden="false" customHeight="true" outlineLevel="0" collapsed="false">
      <c r="A20" s="34" t="s">
        <v>303</v>
      </c>
      <c r="B20" s="34" t="s">
        <v>304</v>
      </c>
      <c r="C20" s="34"/>
    </row>
    <row r="21" customFormat="false" ht="154.5" hidden="false" customHeight="true" outlineLevel="0" collapsed="false">
      <c r="A21" s="33" t="s">
        <v>305</v>
      </c>
      <c r="B21" s="33" t="s">
        <v>306</v>
      </c>
      <c r="C21" s="33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0" width="4"/>
    <col collapsed="false" customWidth="true" hidden="false" outlineLevel="0" max="2" min="2" style="30" width="28"/>
    <col collapsed="false" customWidth="true" hidden="false" outlineLevel="0" max="3" min="3" style="30" width="40"/>
    <col collapsed="false" customWidth="true" hidden="false" outlineLevel="0" max="4" min="4" style="30" width="55"/>
    <col collapsed="false" customWidth="true" hidden="false" outlineLevel="0" max="5" min="5" style="30" width="45"/>
    <col collapsed="false" customWidth="true" hidden="false" outlineLevel="0" max="6" min="6" style="30" width="28"/>
    <col collapsed="false" customWidth="true" hidden="false" outlineLevel="0" max="7" min="7" style="30" width="38"/>
    <col collapsed="false" customWidth="true" hidden="false" outlineLevel="0" max="8" min="8" style="30" width="50"/>
    <col collapsed="false" customWidth="true" hidden="false" outlineLevel="0" max="9" min="9" style="30" width="40"/>
    <col collapsed="false" customWidth="true" hidden="false" outlineLevel="0" max="10" min="10" style="30" width="14"/>
  </cols>
  <sheetData>
    <row r="1" customFormat="false" ht="31.5" hidden="false" customHeight="true" outlineLevel="0" collapsed="false">
      <c r="A1" s="31" t="s">
        <v>307</v>
      </c>
      <c r="B1" s="31"/>
      <c r="C1" s="31"/>
      <c r="D1" s="31"/>
      <c r="E1" s="31"/>
      <c r="F1" s="31"/>
      <c r="G1" s="31"/>
      <c r="H1" s="31"/>
      <c r="I1" s="31"/>
      <c r="J1" s="31"/>
    </row>
    <row r="2" customFormat="false" ht="23.25" hidden="false" customHeight="true" outlineLevel="0" collapsed="false">
      <c r="A2" s="37" t="s">
        <v>308</v>
      </c>
      <c r="B2" s="37" t="s">
        <v>309</v>
      </c>
      <c r="C2" s="37" t="s">
        <v>310</v>
      </c>
      <c r="D2" s="37" t="s">
        <v>311</v>
      </c>
      <c r="E2" s="37" t="s">
        <v>201</v>
      </c>
      <c r="F2" s="37" t="s">
        <v>312</v>
      </c>
      <c r="G2" s="37" t="s">
        <v>313</v>
      </c>
      <c r="H2" s="37" t="s">
        <v>314</v>
      </c>
      <c r="I2" s="37" t="s">
        <v>315</v>
      </c>
      <c r="J2" s="37" t="s">
        <v>316</v>
      </c>
    </row>
    <row r="3" customFormat="false" ht="79.5" hidden="false" customHeight="true" outlineLevel="0" collapsed="false">
      <c r="A3" s="38" t="n">
        <v>1</v>
      </c>
      <c r="B3" s="38" t="s">
        <v>218</v>
      </c>
      <c r="C3" s="38" t="s">
        <v>317</v>
      </c>
      <c r="D3" s="38" t="s">
        <v>318</v>
      </c>
      <c r="E3" s="38" t="s">
        <v>319</v>
      </c>
      <c r="F3" s="38" t="s">
        <v>320</v>
      </c>
      <c r="G3" s="38" t="s">
        <v>321</v>
      </c>
      <c r="H3" s="38" t="s">
        <v>322</v>
      </c>
      <c r="I3" s="38" t="s">
        <v>323</v>
      </c>
      <c r="J3" s="38" t="s">
        <v>324</v>
      </c>
    </row>
    <row r="4" customFormat="false" ht="79.5" hidden="false" customHeight="true" outlineLevel="0" collapsed="false">
      <c r="A4" s="34" t="n">
        <v>2</v>
      </c>
      <c r="B4" s="34" t="s">
        <v>221</v>
      </c>
      <c r="C4" s="34" t="s">
        <v>325</v>
      </c>
      <c r="D4" s="34" t="s">
        <v>326</v>
      </c>
      <c r="E4" s="34" t="s">
        <v>327</v>
      </c>
      <c r="F4" s="34" t="s">
        <v>328</v>
      </c>
      <c r="G4" s="34" t="s">
        <v>329</v>
      </c>
      <c r="H4" s="34" t="s">
        <v>330</v>
      </c>
      <c r="I4" s="34" t="s">
        <v>331</v>
      </c>
      <c r="J4" s="34" t="s">
        <v>332</v>
      </c>
    </row>
    <row r="5" customFormat="false" ht="79.5" hidden="false" customHeight="true" outlineLevel="0" collapsed="false">
      <c r="A5" s="33" t="n">
        <v>3</v>
      </c>
      <c r="B5" s="33" t="s">
        <v>223</v>
      </c>
      <c r="C5" s="33" t="s">
        <v>333</v>
      </c>
      <c r="D5" s="33" t="s">
        <v>334</v>
      </c>
      <c r="E5" s="33" t="s">
        <v>335</v>
      </c>
      <c r="F5" s="33" t="s">
        <v>336</v>
      </c>
      <c r="G5" s="33" t="s">
        <v>337</v>
      </c>
      <c r="H5" s="33" t="s">
        <v>338</v>
      </c>
      <c r="I5" s="33" t="s">
        <v>339</v>
      </c>
      <c r="J5" s="33" t="s">
        <v>324</v>
      </c>
    </row>
    <row r="6" customFormat="false" ht="79.5" hidden="false" customHeight="true" outlineLevel="0" collapsed="false">
      <c r="A6" s="34" t="n">
        <v>4</v>
      </c>
      <c r="B6" s="34" t="s">
        <v>226</v>
      </c>
      <c r="C6" s="34" t="s">
        <v>340</v>
      </c>
      <c r="D6" s="34" t="s">
        <v>341</v>
      </c>
      <c r="E6" s="34" t="s">
        <v>342</v>
      </c>
      <c r="F6" s="34" t="s">
        <v>343</v>
      </c>
      <c r="G6" s="34" t="s">
        <v>344</v>
      </c>
      <c r="H6" s="34" t="s">
        <v>345</v>
      </c>
      <c r="I6" s="34" t="s">
        <v>346</v>
      </c>
      <c r="J6" s="34" t="s">
        <v>347</v>
      </c>
    </row>
    <row r="7" customFormat="false" ht="79.5" hidden="false" customHeight="true" outlineLevel="0" collapsed="false">
      <c r="A7" s="33" t="n">
        <v>5</v>
      </c>
      <c r="B7" s="33" t="s">
        <v>229</v>
      </c>
      <c r="C7" s="33" t="s">
        <v>348</v>
      </c>
      <c r="D7" s="33" t="s">
        <v>349</v>
      </c>
      <c r="E7" s="33" t="s">
        <v>350</v>
      </c>
      <c r="F7" s="33" t="s">
        <v>351</v>
      </c>
      <c r="G7" s="33" t="s">
        <v>352</v>
      </c>
      <c r="H7" s="33" t="s">
        <v>353</v>
      </c>
      <c r="I7" s="33" t="s">
        <v>354</v>
      </c>
      <c r="J7" s="33" t="s">
        <v>324</v>
      </c>
    </row>
    <row r="8" customFormat="false" ht="79.5" hidden="false" customHeight="true" outlineLevel="0" collapsed="false">
      <c r="A8" s="34" t="n">
        <v>6</v>
      </c>
      <c r="B8" s="34" t="s">
        <v>231</v>
      </c>
      <c r="C8" s="34" t="s">
        <v>355</v>
      </c>
      <c r="D8" s="34" t="s">
        <v>356</v>
      </c>
      <c r="E8" s="34" t="s">
        <v>357</v>
      </c>
      <c r="F8" s="34" t="s">
        <v>358</v>
      </c>
      <c r="G8" s="34" t="s">
        <v>359</v>
      </c>
      <c r="H8" s="34" t="s">
        <v>360</v>
      </c>
      <c r="I8" s="34" t="s">
        <v>361</v>
      </c>
      <c r="J8" s="34" t="s">
        <v>332</v>
      </c>
    </row>
    <row r="9" customFormat="false" ht="79.5" hidden="false" customHeight="true" outlineLevel="0" collapsed="false">
      <c r="A9" s="33" t="n">
        <v>7</v>
      </c>
      <c r="B9" s="33" t="s">
        <v>233</v>
      </c>
      <c r="C9" s="33" t="s">
        <v>362</v>
      </c>
      <c r="D9" s="33" t="s">
        <v>363</v>
      </c>
      <c r="E9" s="33" t="s">
        <v>364</v>
      </c>
      <c r="F9" s="33" t="s">
        <v>365</v>
      </c>
      <c r="G9" s="33" t="s">
        <v>366</v>
      </c>
      <c r="H9" s="33" t="s">
        <v>367</v>
      </c>
      <c r="I9" s="33" t="s">
        <v>368</v>
      </c>
      <c r="J9" s="33" t="s">
        <v>369</v>
      </c>
    </row>
    <row r="10" customFormat="false" ht="79.5" hidden="false" customHeight="true" outlineLevel="0" collapsed="false">
      <c r="A10" s="34" t="n">
        <v>8</v>
      </c>
      <c r="B10" s="34" t="s">
        <v>235</v>
      </c>
      <c r="C10" s="34" t="s">
        <v>370</v>
      </c>
      <c r="D10" s="34" t="s">
        <v>371</v>
      </c>
      <c r="E10" s="34" t="s">
        <v>372</v>
      </c>
      <c r="F10" s="34" t="s">
        <v>373</v>
      </c>
      <c r="G10" s="34" t="s">
        <v>374</v>
      </c>
      <c r="H10" s="34" t="s">
        <v>375</v>
      </c>
      <c r="I10" s="34" t="s">
        <v>376</v>
      </c>
      <c r="J10" s="34" t="s">
        <v>332</v>
      </c>
    </row>
    <row r="11" customFormat="false" ht="79.5" hidden="false" customHeight="true" outlineLevel="0" collapsed="false">
      <c r="A11" s="33" t="n">
        <v>9</v>
      </c>
      <c r="B11" s="33" t="s">
        <v>237</v>
      </c>
      <c r="C11" s="33" t="s">
        <v>377</v>
      </c>
      <c r="D11" s="33" t="s">
        <v>378</v>
      </c>
      <c r="E11" s="33" t="s">
        <v>379</v>
      </c>
      <c r="F11" s="33" t="s">
        <v>380</v>
      </c>
      <c r="G11" s="33" t="s">
        <v>381</v>
      </c>
      <c r="H11" s="33" t="s">
        <v>382</v>
      </c>
      <c r="I11" s="33" t="s">
        <v>383</v>
      </c>
      <c r="J11" s="33" t="s">
        <v>347</v>
      </c>
    </row>
    <row r="12" customFormat="false" ht="79.5" hidden="false" customHeight="true" outlineLevel="0" collapsed="false">
      <c r="A12" s="34" t="n">
        <v>10</v>
      </c>
      <c r="B12" s="34" t="s">
        <v>239</v>
      </c>
      <c r="C12" s="34" t="s">
        <v>384</v>
      </c>
      <c r="D12" s="34" t="s">
        <v>385</v>
      </c>
      <c r="E12" s="34" t="s">
        <v>386</v>
      </c>
      <c r="F12" s="34" t="s">
        <v>387</v>
      </c>
      <c r="G12" s="34" t="s">
        <v>388</v>
      </c>
      <c r="H12" s="34" t="s">
        <v>389</v>
      </c>
      <c r="I12" s="34" t="s">
        <v>390</v>
      </c>
      <c r="J12" s="34" t="s">
        <v>347</v>
      </c>
    </row>
    <row r="13" customFormat="false" ht="79.5" hidden="false" customHeight="true" outlineLevel="0" collapsed="false">
      <c r="A13" s="33" t="n">
        <v>11</v>
      </c>
      <c r="B13" s="33" t="s">
        <v>241</v>
      </c>
      <c r="C13" s="33" t="s">
        <v>391</v>
      </c>
      <c r="D13" s="33" t="s">
        <v>392</v>
      </c>
      <c r="E13" s="33" t="s">
        <v>393</v>
      </c>
      <c r="F13" s="33" t="s">
        <v>394</v>
      </c>
      <c r="G13" s="33" t="s">
        <v>395</v>
      </c>
      <c r="H13" s="33" t="s">
        <v>396</v>
      </c>
      <c r="I13" s="33" t="s">
        <v>397</v>
      </c>
      <c r="J13" s="33" t="s">
        <v>332</v>
      </c>
    </row>
    <row r="14" customFormat="false" ht="79.5" hidden="false" customHeight="true" outlineLevel="0" collapsed="false">
      <c r="A14" s="34" t="n">
        <v>12</v>
      </c>
      <c r="B14" s="34" t="s">
        <v>244</v>
      </c>
      <c r="C14" s="34" t="s">
        <v>398</v>
      </c>
      <c r="D14" s="34" t="s">
        <v>399</v>
      </c>
      <c r="E14" s="34" t="s">
        <v>400</v>
      </c>
      <c r="F14" s="34" t="s">
        <v>401</v>
      </c>
      <c r="G14" s="34" t="s">
        <v>402</v>
      </c>
      <c r="H14" s="34" t="s">
        <v>403</v>
      </c>
      <c r="I14" s="34" t="s">
        <v>404</v>
      </c>
      <c r="J14" s="34" t="s">
        <v>405</v>
      </c>
    </row>
    <row r="15" customFormat="false" ht="79.5" hidden="false" customHeight="true" outlineLevel="0" collapsed="false">
      <c r="A15" s="33" t="n">
        <v>13</v>
      </c>
      <c r="B15" s="33" t="s">
        <v>247</v>
      </c>
      <c r="C15" s="33" t="s">
        <v>406</v>
      </c>
      <c r="D15" s="33" t="s">
        <v>407</v>
      </c>
      <c r="E15" s="33" t="s">
        <v>408</v>
      </c>
      <c r="F15" s="33" t="s">
        <v>409</v>
      </c>
      <c r="G15" s="33" t="s">
        <v>410</v>
      </c>
      <c r="H15" s="33" t="s">
        <v>411</v>
      </c>
      <c r="I15" s="33" t="s">
        <v>412</v>
      </c>
      <c r="J15" s="33" t="s">
        <v>413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0" width="12"/>
    <col collapsed="false" customWidth="true" hidden="false" outlineLevel="0" max="2" min="2" style="30" width="28"/>
    <col collapsed="false" customWidth="true" hidden="false" outlineLevel="0" max="3" min="3" style="30" width="11"/>
    <col collapsed="false" customWidth="true" hidden="false" outlineLevel="0" max="4" min="4" style="30" width="13"/>
    <col collapsed="false" customWidth="true" hidden="false" outlineLevel="0" max="5" min="5" style="30" width="42"/>
    <col collapsed="false" customWidth="true" hidden="false" outlineLevel="0" max="6" min="6" style="30" width="58"/>
    <col collapsed="false" customWidth="true" hidden="false" outlineLevel="0" max="7" min="7" style="30" width="9"/>
    <col collapsed="false" customWidth="true" hidden="false" outlineLevel="0" max="8" min="8" style="30" width="10"/>
    <col collapsed="false" customWidth="true" hidden="false" outlineLevel="0" max="9" min="9" style="30" width="28"/>
    <col collapsed="false" customWidth="true" hidden="false" outlineLevel="0" max="10" min="10" style="30" width="55"/>
    <col collapsed="false" customWidth="true" hidden="false" outlineLevel="0" max="11" min="11" style="30" width="28"/>
  </cols>
  <sheetData>
    <row r="1" customFormat="false" ht="31.5" hidden="false" customHeight="true" outlineLevel="0" collapsed="false">
      <c r="A1" s="31" t="s">
        <v>414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customFormat="false" ht="15" hidden="false" customHeight="true" outlineLevel="0" collapsed="false">
      <c r="A2" s="37" t="s">
        <v>415</v>
      </c>
      <c r="B2" s="37" t="s">
        <v>416</v>
      </c>
      <c r="C2" s="37" t="s">
        <v>417</v>
      </c>
      <c r="D2" s="37" t="s">
        <v>418</v>
      </c>
      <c r="E2" s="37" t="s">
        <v>419</v>
      </c>
      <c r="F2" s="37" t="s">
        <v>420</v>
      </c>
      <c r="G2" s="37" t="s">
        <v>421</v>
      </c>
      <c r="H2" s="37" t="s">
        <v>422</v>
      </c>
      <c r="I2" s="37" t="s">
        <v>312</v>
      </c>
      <c r="J2" s="37" t="s">
        <v>423</v>
      </c>
      <c r="K2" s="37" t="s">
        <v>252</v>
      </c>
    </row>
    <row r="3" customFormat="false" ht="30" hidden="false" customHeight="true" outlineLevel="0" collapsed="false">
      <c r="A3" s="35" t="s">
        <v>424</v>
      </c>
      <c r="B3" s="35" t="s">
        <v>425</v>
      </c>
      <c r="C3" s="35" t="s">
        <v>207</v>
      </c>
      <c r="D3" s="35" t="s">
        <v>211</v>
      </c>
      <c r="E3" s="35" t="s">
        <v>426</v>
      </c>
      <c r="F3" s="35" t="s">
        <v>427</v>
      </c>
      <c r="G3" s="35" t="s">
        <v>194</v>
      </c>
      <c r="H3" s="35" t="s">
        <v>187</v>
      </c>
      <c r="I3" s="35" t="s">
        <v>28</v>
      </c>
      <c r="J3" s="35" t="s">
        <v>428</v>
      </c>
      <c r="K3" s="35" t="s">
        <v>429</v>
      </c>
    </row>
    <row r="4" customFormat="false" ht="30" hidden="false" customHeight="true" outlineLevel="0" collapsed="false">
      <c r="A4" s="35" t="s">
        <v>430</v>
      </c>
      <c r="B4" s="35" t="s">
        <v>425</v>
      </c>
      <c r="C4" s="35" t="s">
        <v>207</v>
      </c>
      <c r="D4" s="35" t="s">
        <v>211</v>
      </c>
      <c r="E4" s="35" t="s">
        <v>431</v>
      </c>
      <c r="F4" s="35" t="s">
        <v>432</v>
      </c>
      <c r="G4" s="35" t="s">
        <v>194</v>
      </c>
      <c r="H4" s="35" t="s">
        <v>184</v>
      </c>
      <c r="I4" s="35" t="s">
        <v>433</v>
      </c>
      <c r="J4" s="35" t="s">
        <v>434</v>
      </c>
      <c r="K4" s="35"/>
    </row>
    <row r="5" customFormat="false" ht="30" hidden="false" customHeight="true" outlineLevel="0" collapsed="false">
      <c r="A5" s="35" t="s">
        <v>435</v>
      </c>
      <c r="B5" s="35" t="s">
        <v>425</v>
      </c>
      <c r="C5" s="35" t="s">
        <v>207</v>
      </c>
      <c r="D5" s="35" t="s">
        <v>211</v>
      </c>
      <c r="E5" s="35" t="s">
        <v>436</v>
      </c>
      <c r="F5" s="35" t="s">
        <v>437</v>
      </c>
      <c r="G5" s="35" t="s">
        <v>194</v>
      </c>
      <c r="H5" s="35" t="s">
        <v>184</v>
      </c>
      <c r="I5" s="35" t="s">
        <v>438</v>
      </c>
      <c r="J5" s="35" t="s">
        <v>439</v>
      </c>
      <c r="K5" s="35"/>
    </row>
    <row r="6" customFormat="false" ht="30" hidden="false" customHeight="true" outlineLevel="0" collapsed="false">
      <c r="A6" s="35" t="s">
        <v>440</v>
      </c>
      <c r="B6" s="35" t="s">
        <v>425</v>
      </c>
      <c r="C6" s="35" t="s">
        <v>207</v>
      </c>
      <c r="D6" s="35" t="s">
        <v>211</v>
      </c>
      <c r="E6" s="35" t="s">
        <v>441</v>
      </c>
      <c r="F6" s="35" t="s">
        <v>442</v>
      </c>
      <c r="G6" s="35" t="s">
        <v>197</v>
      </c>
      <c r="H6" s="35" t="s">
        <v>181</v>
      </c>
      <c r="I6" s="35" t="s">
        <v>28</v>
      </c>
      <c r="J6" s="35" t="s">
        <v>443</v>
      </c>
      <c r="K6" s="35"/>
    </row>
    <row r="7" customFormat="false" ht="30" hidden="false" customHeight="true" outlineLevel="0" collapsed="false">
      <c r="A7" s="35" t="s">
        <v>444</v>
      </c>
      <c r="B7" s="35" t="s">
        <v>425</v>
      </c>
      <c r="C7" s="35" t="s">
        <v>207</v>
      </c>
      <c r="D7" s="35" t="s">
        <v>211</v>
      </c>
      <c r="E7" s="35" t="s">
        <v>445</v>
      </c>
      <c r="F7" s="35" t="s">
        <v>446</v>
      </c>
      <c r="G7" s="35" t="s">
        <v>194</v>
      </c>
      <c r="H7" s="35" t="s">
        <v>184</v>
      </c>
      <c r="I7" s="35" t="s">
        <v>433</v>
      </c>
      <c r="J7" s="35" t="s">
        <v>447</v>
      </c>
      <c r="K7" s="35"/>
    </row>
    <row r="8" customFormat="false" ht="30" hidden="false" customHeight="true" outlineLevel="0" collapsed="false">
      <c r="A8" s="35" t="s">
        <v>448</v>
      </c>
      <c r="B8" s="35" t="s">
        <v>425</v>
      </c>
      <c r="C8" s="35" t="s">
        <v>207</v>
      </c>
      <c r="D8" s="35" t="s">
        <v>211</v>
      </c>
      <c r="E8" s="35" t="s">
        <v>449</v>
      </c>
      <c r="F8" s="35" t="s">
        <v>450</v>
      </c>
      <c r="G8" s="35" t="s">
        <v>194</v>
      </c>
      <c r="H8" s="35" t="s">
        <v>181</v>
      </c>
      <c r="I8" s="35" t="s">
        <v>28</v>
      </c>
      <c r="J8" s="35" t="s">
        <v>451</v>
      </c>
      <c r="K8" s="35"/>
    </row>
    <row r="9" customFormat="false" ht="30" hidden="false" customHeight="true" outlineLevel="0" collapsed="false">
      <c r="A9" s="35" t="s">
        <v>452</v>
      </c>
      <c r="B9" s="35" t="s">
        <v>425</v>
      </c>
      <c r="C9" s="35" t="s">
        <v>207</v>
      </c>
      <c r="D9" s="35" t="s">
        <v>211</v>
      </c>
      <c r="E9" s="35" t="s">
        <v>453</v>
      </c>
      <c r="F9" s="35" t="s">
        <v>454</v>
      </c>
      <c r="G9" s="35" t="s">
        <v>194</v>
      </c>
      <c r="H9" s="35" t="s">
        <v>187</v>
      </c>
      <c r="I9" s="35" t="s">
        <v>28</v>
      </c>
      <c r="J9" s="35" t="s">
        <v>455</v>
      </c>
      <c r="K9" s="35" t="s">
        <v>456</v>
      </c>
    </row>
    <row r="10" customFormat="false" ht="30" hidden="false" customHeight="true" outlineLevel="0" collapsed="false">
      <c r="A10" s="35" t="s">
        <v>457</v>
      </c>
      <c r="B10" s="35" t="s">
        <v>425</v>
      </c>
      <c r="C10" s="35" t="s">
        <v>207</v>
      </c>
      <c r="D10" s="35" t="s">
        <v>211</v>
      </c>
      <c r="E10" s="35" t="s">
        <v>458</v>
      </c>
      <c r="F10" s="35" t="s">
        <v>459</v>
      </c>
      <c r="G10" s="35" t="s">
        <v>194</v>
      </c>
      <c r="H10" s="35" t="s">
        <v>184</v>
      </c>
      <c r="I10" s="35" t="s">
        <v>460</v>
      </c>
      <c r="J10" s="35" t="s">
        <v>461</v>
      </c>
      <c r="K10" s="35" t="s">
        <v>462</v>
      </c>
    </row>
    <row r="11" customFormat="false" ht="30" hidden="false" customHeight="true" outlineLevel="0" collapsed="false">
      <c r="A11" s="35" t="s">
        <v>463</v>
      </c>
      <c r="B11" s="35" t="s">
        <v>425</v>
      </c>
      <c r="C11" s="35" t="s">
        <v>207</v>
      </c>
      <c r="D11" s="35" t="s">
        <v>211</v>
      </c>
      <c r="E11" s="35" t="s">
        <v>464</v>
      </c>
      <c r="F11" s="35" t="s">
        <v>465</v>
      </c>
      <c r="G11" s="35" t="s">
        <v>194</v>
      </c>
      <c r="H11" s="35" t="s">
        <v>187</v>
      </c>
      <c r="I11" s="35" t="s">
        <v>466</v>
      </c>
      <c r="J11" s="35" t="s">
        <v>467</v>
      </c>
      <c r="K11" s="35" t="s">
        <v>468</v>
      </c>
    </row>
    <row r="12" customFormat="false" ht="30" hidden="false" customHeight="true" outlineLevel="0" collapsed="false">
      <c r="A12" s="35" t="s">
        <v>469</v>
      </c>
      <c r="B12" s="35" t="s">
        <v>425</v>
      </c>
      <c r="C12" s="35" t="s">
        <v>207</v>
      </c>
      <c r="D12" s="35" t="s">
        <v>211</v>
      </c>
      <c r="E12" s="35" t="s">
        <v>470</v>
      </c>
      <c r="F12" s="35" t="s">
        <v>471</v>
      </c>
      <c r="G12" s="35" t="s">
        <v>197</v>
      </c>
      <c r="H12" s="35" t="s">
        <v>181</v>
      </c>
      <c r="I12" s="35" t="s">
        <v>466</v>
      </c>
      <c r="J12" s="35" t="s">
        <v>472</v>
      </c>
      <c r="K12" s="35"/>
    </row>
    <row r="13" customFormat="false" ht="30" hidden="false" customHeight="true" outlineLevel="0" collapsed="false">
      <c r="A13" s="35" t="s">
        <v>473</v>
      </c>
      <c r="B13" s="35" t="s">
        <v>425</v>
      </c>
      <c r="C13" s="35" t="s">
        <v>207</v>
      </c>
      <c r="D13" s="35" t="s">
        <v>211</v>
      </c>
      <c r="E13" s="35" t="s">
        <v>474</v>
      </c>
      <c r="F13" s="35" t="s">
        <v>475</v>
      </c>
      <c r="G13" s="35" t="s">
        <v>194</v>
      </c>
      <c r="H13" s="35" t="s">
        <v>184</v>
      </c>
      <c r="I13" s="35" t="s">
        <v>28</v>
      </c>
      <c r="J13" s="35" t="s">
        <v>476</v>
      </c>
      <c r="K13" s="35" t="s">
        <v>477</v>
      </c>
    </row>
    <row r="14" customFormat="false" ht="30" hidden="false" customHeight="true" outlineLevel="0" collapsed="false">
      <c r="A14" s="35" t="s">
        <v>478</v>
      </c>
      <c r="B14" s="35" t="s">
        <v>425</v>
      </c>
      <c r="C14" s="35" t="s">
        <v>207</v>
      </c>
      <c r="D14" s="35" t="s">
        <v>211</v>
      </c>
      <c r="E14" s="35" t="s">
        <v>479</v>
      </c>
      <c r="F14" s="35" t="s">
        <v>480</v>
      </c>
      <c r="G14" s="35" t="s">
        <v>194</v>
      </c>
      <c r="H14" s="35" t="s">
        <v>181</v>
      </c>
      <c r="I14" s="35" t="s">
        <v>481</v>
      </c>
      <c r="J14" s="35" t="s">
        <v>482</v>
      </c>
      <c r="K14" s="35"/>
    </row>
    <row r="15" customFormat="false" ht="30" hidden="false" customHeight="true" outlineLevel="0" collapsed="false">
      <c r="A15" s="35" t="s">
        <v>483</v>
      </c>
      <c r="B15" s="35" t="s">
        <v>425</v>
      </c>
      <c r="C15" s="35" t="s">
        <v>204</v>
      </c>
      <c r="D15" s="35" t="s">
        <v>211</v>
      </c>
      <c r="E15" s="35" t="s">
        <v>484</v>
      </c>
      <c r="F15" s="35" t="s">
        <v>485</v>
      </c>
      <c r="G15" s="35" t="s">
        <v>197</v>
      </c>
      <c r="H15" s="35" t="s">
        <v>181</v>
      </c>
      <c r="I15" s="35" t="s">
        <v>28</v>
      </c>
      <c r="J15" s="35" t="s">
        <v>486</v>
      </c>
      <c r="K15" s="35"/>
    </row>
    <row r="16" customFormat="false" ht="30" hidden="false" customHeight="true" outlineLevel="0" collapsed="false">
      <c r="A16" s="35" t="s">
        <v>487</v>
      </c>
      <c r="B16" s="35" t="s">
        <v>425</v>
      </c>
      <c r="C16" s="35" t="s">
        <v>207</v>
      </c>
      <c r="D16" s="35" t="s">
        <v>211</v>
      </c>
      <c r="E16" s="35" t="s">
        <v>488</v>
      </c>
      <c r="F16" s="35" t="s">
        <v>489</v>
      </c>
      <c r="G16" s="35" t="s">
        <v>194</v>
      </c>
      <c r="H16" s="35" t="s">
        <v>184</v>
      </c>
      <c r="I16" s="35" t="s">
        <v>28</v>
      </c>
      <c r="J16" s="35" t="s">
        <v>490</v>
      </c>
      <c r="K16" s="35"/>
    </row>
    <row r="17" customFormat="false" ht="30" hidden="false" customHeight="true" outlineLevel="0" collapsed="false">
      <c r="A17" s="35" t="s">
        <v>491</v>
      </c>
      <c r="B17" s="35" t="s">
        <v>425</v>
      </c>
      <c r="C17" s="35" t="s">
        <v>207</v>
      </c>
      <c r="D17" s="35" t="s">
        <v>211</v>
      </c>
      <c r="E17" s="35" t="s">
        <v>492</v>
      </c>
      <c r="F17" s="35" t="s">
        <v>493</v>
      </c>
      <c r="G17" s="35" t="s">
        <v>194</v>
      </c>
      <c r="H17" s="35" t="s">
        <v>181</v>
      </c>
      <c r="I17" s="35" t="s">
        <v>28</v>
      </c>
      <c r="J17" s="35" t="s">
        <v>494</v>
      </c>
      <c r="K17" s="35"/>
    </row>
    <row r="18" customFormat="false" ht="30" hidden="false" customHeight="true" outlineLevel="0" collapsed="false">
      <c r="A18" s="35" t="s">
        <v>495</v>
      </c>
      <c r="B18" s="35" t="s">
        <v>425</v>
      </c>
      <c r="C18" s="35" t="s">
        <v>207</v>
      </c>
      <c r="D18" s="35" t="s">
        <v>211</v>
      </c>
      <c r="E18" s="35" t="s">
        <v>496</v>
      </c>
      <c r="F18" s="35" t="s">
        <v>497</v>
      </c>
      <c r="G18" s="35" t="s">
        <v>194</v>
      </c>
      <c r="H18" s="35" t="s">
        <v>187</v>
      </c>
      <c r="I18" s="35" t="s">
        <v>433</v>
      </c>
      <c r="J18" s="35" t="s">
        <v>498</v>
      </c>
      <c r="K18" s="35" t="s">
        <v>499</v>
      </c>
    </row>
    <row r="19" customFormat="false" ht="30" hidden="false" customHeight="true" outlineLevel="0" collapsed="false">
      <c r="A19" s="36" t="s">
        <v>500</v>
      </c>
      <c r="B19" s="36" t="s">
        <v>425</v>
      </c>
      <c r="C19" s="36" t="s">
        <v>207</v>
      </c>
      <c r="D19" s="36" t="s">
        <v>201</v>
      </c>
      <c r="E19" s="36" t="s">
        <v>501</v>
      </c>
      <c r="F19" s="36" t="s">
        <v>502</v>
      </c>
      <c r="G19" s="36" t="s">
        <v>200</v>
      </c>
      <c r="H19" s="36" t="s">
        <v>181</v>
      </c>
      <c r="I19" s="36" t="s">
        <v>503</v>
      </c>
      <c r="J19" s="36" t="s">
        <v>504</v>
      </c>
      <c r="K19" s="36"/>
    </row>
    <row r="20" customFormat="false" ht="30" hidden="false" customHeight="true" outlineLevel="0" collapsed="false">
      <c r="A20" s="36" t="s">
        <v>505</v>
      </c>
      <c r="B20" s="36" t="s">
        <v>425</v>
      </c>
      <c r="C20" s="36" t="s">
        <v>207</v>
      </c>
      <c r="D20" s="36" t="s">
        <v>201</v>
      </c>
      <c r="E20" s="36" t="s">
        <v>506</v>
      </c>
      <c r="F20" s="36" t="s">
        <v>507</v>
      </c>
      <c r="G20" s="36" t="s">
        <v>200</v>
      </c>
      <c r="H20" s="36" t="s">
        <v>181</v>
      </c>
      <c r="I20" s="36" t="s">
        <v>28</v>
      </c>
      <c r="J20" s="36" t="s">
        <v>508</v>
      </c>
      <c r="K20" s="36"/>
    </row>
    <row r="21" customFormat="false" ht="30" hidden="false" customHeight="true" outlineLevel="0" collapsed="false">
      <c r="A21" s="36" t="s">
        <v>509</v>
      </c>
      <c r="B21" s="36" t="s">
        <v>425</v>
      </c>
      <c r="C21" s="36" t="s">
        <v>207</v>
      </c>
      <c r="D21" s="36" t="s">
        <v>201</v>
      </c>
      <c r="E21" s="36" t="s">
        <v>510</v>
      </c>
      <c r="F21" s="36" t="s">
        <v>511</v>
      </c>
      <c r="G21" s="36" t="s">
        <v>200</v>
      </c>
      <c r="H21" s="36" t="s">
        <v>184</v>
      </c>
      <c r="I21" s="36" t="s">
        <v>512</v>
      </c>
      <c r="J21" s="36" t="s">
        <v>513</v>
      </c>
      <c r="K21" s="36"/>
    </row>
    <row r="22" customFormat="false" ht="30" hidden="false" customHeight="true" outlineLevel="0" collapsed="false">
      <c r="A22" s="35" t="s">
        <v>514</v>
      </c>
      <c r="B22" s="35" t="s">
        <v>515</v>
      </c>
      <c r="C22" s="35" t="s">
        <v>207</v>
      </c>
      <c r="D22" s="35" t="s">
        <v>211</v>
      </c>
      <c r="E22" s="35" t="s">
        <v>516</v>
      </c>
      <c r="F22" s="35" t="s">
        <v>517</v>
      </c>
      <c r="G22" s="35" t="s">
        <v>194</v>
      </c>
      <c r="H22" s="35" t="s">
        <v>181</v>
      </c>
      <c r="I22" s="35" t="s">
        <v>328</v>
      </c>
      <c r="J22" s="35" t="s">
        <v>518</v>
      </c>
      <c r="K22" s="35"/>
    </row>
    <row r="23" customFormat="false" ht="30" hidden="false" customHeight="true" outlineLevel="0" collapsed="false">
      <c r="A23" s="35" t="s">
        <v>519</v>
      </c>
      <c r="B23" s="35" t="s">
        <v>515</v>
      </c>
      <c r="C23" s="35" t="s">
        <v>207</v>
      </c>
      <c r="D23" s="35" t="s">
        <v>211</v>
      </c>
      <c r="E23" s="35" t="s">
        <v>520</v>
      </c>
      <c r="F23" s="35" t="s">
        <v>521</v>
      </c>
      <c r="G23" s="35" t="s">
        <v>197</v>
      </c>
      <c r="H23" s="35" t="s">
        <v>181</v>
      </c>
      <c r="I23" s="35" t="s">
        <v>328</v>
      </c>
      <c r="J23" s="35" t="s">
        <v>522</v>
      </c>
      <c r="K23" s="35"/>
    </row>
    <row r="24" customFormat="false" ht="30" hidden="false" customHeight="true" outlineLevel="0" collapsed="false">
      <c r="A24" s="35" t="s">
        <v>523</v>
      </c>
      <c r="B24" s="35" t="s">
        <v>515</v>
      </c>
      <c r="C24" s="35" t="s">
        <v>207</v>
      </c>
      <c r="D24" s="35" t="s">
        <v>211</v>
      </c>
      <c r="E24" s="35" t="s">
        <v>524</v>
      </c>
      <c r="F24" s="35" t="s">
        <v>525</v>
      </c>
      <c r="G24" s="35" t="s">
        <v>194</v>
      </c>
      <c r="H24" s="35" t="s">
        <v>184</v>
      </c>
      <c r="I24" s="35" t="s">
        <v>328</v>
      </c>
      <c r="J24" s="35" t="s">
        <v>526</v>
      </c>
      <c r="K24" s="35"/>
    </row>
    <row r="25" customFormat="false" ht="30" hidden="false" customHeight="true" outlineLevel="0" collapsed="false">
      <c r="A25" s="35" t="s">
        <v>527</v>
      </c>
      <c r="B25" s="35" t="s">
        <v>515</v>
      </c>
      <c r="C25" s="35" t="s">
        <v>207</v>
      </c>
      <c r="D25" s="35" t="s">
        <v>211</v>
      </c>
      <c r="E25" s="35" t="s">
        <v>528</v>
      </c>
      <c r="F25" s="35" t="s">
        <v>529</v>
      </c>
      <c r="G25" s="35" t="s">
        <v>194</v>
      </c>
      <c r="H25" s="35" t="s">
        <v>184</v>
      </c>
      <c r="I25" s="35" t="s">
        <v>530</v>
      </c>
      <c r="J25" s="35" t="s">
        <v>531</v>
      </c>
      <c r="K25" s="35"/>
    </row>
    <row r="26" customFormat="false" ht="30" hidden="false" customHeight="true" outlineLevel="0" collapsed="false">
      <c r="A26" s="35" t="s">
        <v>532</v>
      </c>
      <c r="B26" s="35" t="s">
        <v>515</v>
      </c>
      <c r="C26" s="35" t="s">
        <v>207</v>
      </c>
      <c r="D26" s="35" t="s">
        <v>211</v>
      </c>
      <c r="E26" s="35" t="s">
        <v>533</v>
      </c>
      <c r="F26" s="35" t="s">
        <v>534</v>
      </c>
      <c r="G26" s="35" t="s">
        <v>197</v>
      </c>
      <c r="H26" s="35" t="s">
        <v>181</v>
      </c>
      <c r="I26" s="35" t="s">
        <v>328</v>
      </c>
      <c r="J26" s="35" t="s">
        <v>535</v>
      </c>
      <c r="K26" s="35"/>
    </row>
    <row r="27" customFormat="false" ht="30" hidden="false" customHeight="true" outlineLevel="0" collapsed="false">
      <c r="A27" s="35" t="s">
        <v>536</v>
      </c>
      <c r="B27" s="35" t="s">
        <v>515</v>
      </c>
      <c r="C27" s="35" t="s">
        <v>207</v>
      </c>
      <c r="D27" s="35" t="s">
        <v>211</v>
      </c>
      <c r="E27" s="35" t="s">
        <v>537</v>
      </c>
      <c r="F27" s="35" t="s">
        <v>538</v>
      </c>
      <c r="G27" s="35" t="s">
        <v>194</v>
      </c>
      <c r="H27" s="35" t="s">
        <v>181</v>
      </c>
      <c r="I27" s="35" t="s">
        <v>328</v>
      </c>
      <c r="J27" s="35" t="s">
        <v>539</v>
      </c>
      <c r="K27" s="35"/>
    </row>
    <row r="28" customFormat="false" ht="30" hidden="false" customHeight="true" outlineLevel="0" collapsed="false">
      <c r="A28" s="35" t="s">
        <v>540</v>
      </c>
      <c r="B28" s="35" t="s">
        <v>515</v>
      </c>
      <c r="C28" s="35" t="s">
        <v>207</v>
      </c>
      <c r="D28" s="35" t="s">
        <v>211</v>
      </c>
      <c r="E28" s="35" t="s">
        <v>541</v>
      </c>
      <c r="F28" s="35" t="s">
        <v>542</v>
      </c>
      <c r="G28" s="35" t="s">
        <v>194</v>
      </c>
      <c r="H28" s="35" t="s">
        <v>181</v>
      </c>
      <c r="I28" s="35" t="s">
        <v>543</v>
      </c>
      <c r="J28" s="35" t="s">
        <v>544</v>
      </c>
      <c r="K28" s="35"/>
    </row>
    <row r="29" customFormat="false" ht="30" hidden="false" customHeight="true" outlineLevel="0" collapsed="false">
      <c r="A29" s="35" t="s">
        <v>545</v>
      </c>
      <c r="B29" s="35" t="s">
        <v>515</v>
      </c>
      <c r="C29" s="35" t="s">
        <v>207</v>
      </c>
      <c r="D29" s="35" t="s">
        <v>211</v>
      </c>
      <c r="E29" s="35" t="s">
        <v>546</v>
      </c>
      <c r="F29" s="35" t="s">
        <v>547</v>
      </c>
      <c r="G29" s="35" t="s">
        <v>194</v>
      </c>
      <c r="H29" s="35" t="s">
        <v>184</v>
      </c>
      <c r="I29" s="35" t="s">
        <v>548</v>
      </c>
      <c r="J29" s="35" t="s">
        <v>549</v>
      </c>
      <c r="K29" s="35"/>
    </row>
    <row r="30" customFormat="false" ht="30" hidden="false" customHeight="true" outlineLevel="0" collapsed="false">
      <c r="A30" s="35" t="s">
        <v>550</v>
      </c>
      <c r="B30" s="35" t="s">
        <v>515</v>
      </c>
      <c r="C30" s="35" t="s">
        <v>204</v>
      </c>
      <c r="D30" s="35" t="s">
        <v>211</v>
      </c>
      <c r="E30" s="35" t="s">
        <v>551</v>
      </c>
      <c r="F30" s="35" t="s">
        <v>552</v>
      </c>
      <c r="G30" s="35" t="s">
        <v>197</v>
      </c>
      <c r="H30" s="35" t="s">
        <v>181</v>
      </c>
      <c r="I30" s="35" t="s">
        <v>328</v>
      </c>
      <c r="J30" s="35" t="s">
        <v>553</v>
      </c>
      <c r="K30" s="35"/>
    </row>
    <row r="31" customFormat="false" ht="30" hidden="false" customHeight="true" outlineLevel="0" collapsed="false">
      <c r="A31" s="35" t="s">
        <v>554</v>
      </c>
      <c r="B31" s="35" t="s">
        <v>515</v>
      </c>
      <c r="C31" s="35" t="s">
        <v>204</v>
      </c>
      <c r="D31" s="35" t="s">
        <v>211</v>
      </c>
      <c r="E31" s="35" t="s">
        <v>555</v>
      </c>
      <c r="F31" s="35" t="s">
        <v>556</v>
      </c>
      <c r="G31" s="35" t="s">
        <v>194</v>
      </c>
      <c r="H31" s="35" t="s">
        <v>184</v>
      </c>
      <c r="I31" s="35" t="s">
        <v>557</v>
      </c>
      <c r="J31" s="35" t="s">
        <v>558</v>
      </c>
      <c r="K31" s="35"/>
    </row>
    <row r="32" customFormat="false" ht="30" hidden="false" customHeight="true" outlineLevel="0" collapsed="false">
      <c r="A32" s="36" t="s">
        <v>559</v>
      </c>
      <c r="B32" s="36" t="s">
        <v>515</v>
      </c>
      <c r="C32" s="36" t="s">
        <v>207</v>
      </c>
      <c r="D32" s="36" t="s">
        <v>201</v>
      </c>
      <c r="E32" s="36" t="s">
        <v>560</v>
      </c>
      <c r="F32" s="36" t="s">
        <v>561</v>
      </c>
      <c r="G32" s="36" t="s">
        <v>200</v>
      </c>
      <c r="H32" s="36" t="s">
        <v>184</v>
      </c>
      <c r="I32" s="36" t="s">
        <v>562</v>
      </c>
      <c r="J32" s="36" t="s">
        <v>563</v>
      </c>
      <c r="K32" s="36"/>
    </row>
    <row r="33" customFormat="false" ht="30" hidden="false" customHeight="true" outlineLevel="0" collapsed="false">
      <c r="A33" s="36" t="s">
        <v>564</v>
      </c>
      <c r="B33" s="36" t="s">
        <v>515</v>
      </c>
      <c r="C33" s="36" t="s">
        <v>207</v>
      </c>
      <c r="D33" s="36" t="s">
        <v>201</v>
      </c>
      <c r="E33" s="36" t="s">
        <v>565</v>
      </c>
      <c r="F33" s="36" t="s">
        <v>566</v>
      </c>
      <c r="G33" s="36" t="s">
        <v>200</v>
      </c>
      <c r="H33" s="36" t="s">
        <v>184</v>
      </c>
      <c r="I33" s="36" t="s">
        <v>567</v>
      </c>
      <c r="J33" s="36" t="s">
        <v>568</v>
      </c>
      <c r="K33" s="36"/>
    </row>
    <row r="34" customFormat="false" ht="30" hidden="false" customHeight="true" outlineLevel="0" collapsed="false">
      <c r="A34" s="36" t="s">
        <v>569</v>
      </c>
      <c r="B34" s="36" t="s">
        <v>515</v>
      </c>
      <c r="C34" s="36" t="s">
        <v>204</v>
      </c>
      <c r="D34" s="36" t="s">
        <v>201</v>
      </c>
      <c r="E34" s="36" t="s">
        <v>570</v>
      </c>
      <c r="F34" s="36" t="s">
        <v>571</v>
      </c>
      <c r="G34" s="36" t="s">
        <v>200</v>
      </c>
      <c r="H34" s="36" t="s">
        <v>187</v>
      </c>
      <c r="I34" s="36" t="s">
        <v>567</v>
      </c>
      <c r="J34" s="36" t="s">
        <v>572</v>
      </c>
      <c r="K34" s="36"/>
    </row>
    <row r="35" customFormat="false" ht="30" hidden="false" customHeight="true" outlineLevel="0" collapsed="false">
      <c r="A35" s="35" t="s">
        <v>573</v>
      </c>
      <c r="B35" s="35" t="s">
        <v>574</v>
      </c>
      <c r="C35" s="35" t="s">
        <v>207</v>
      </c>
      <c r="D35" s="35" t="s">
        <v>211</v>
      </c>
      <c r="E35" s="35" t="s">
        <v>575</v>
      </c>
      <c r="F35" s="35" t="s">
        <v>576</v>
      </c>
      <c r="G35" s="35" t="s">
        <v>194</v>
      </c>
      <c r="H35" s="35" t="s">
        <v>190</v>
      </c>
      <c r="I35" s="35" t="s">
        <v>577</v>
      </c>
      <c r="J35" s="35" t="s">
        <v>578</v>
      </c>
      <c r="K35" s="35" t="s">
        <v>579</v>
      </c>
    </row>
    <row r="36" customFormat="false" ht="30" hidden="false" customHeight="true" outlineLevel="0" collapsed="false">
      <c r="A36" s="35" t="s">
        <v>580</v>
      </c>
      <c r="B36" s="35" t="s">
        <v>574</v>
      </c>
      <c r="C36" s="35" t="s">
        <v>207</v>
      </c>
      <c r="D36" s="35" t="s">
        <v>211</v>
      </c>
      <c r="E36" s="35" t="s">
        <v>581</v>
      </c>
      <c r="F36" s="35" t="s">
        <v>582</v>
      </c>
      <c r="G36" s="35" t="s">
        <v>194</v>
      </c>
      <c r="H36" s="35" t="s">
        <v>184</v>
      </c>
      <c r="I36" s="35" t="s">
        <v>583</v>
      </c>
      <c r="J36" s="35" t="s">
        <v>584</v>
      </c>
      <c r="K36" s="35"/>
    </row>
    <row r="37" customFormat="false" ht="30" hidden="false" customHeight="true" outlineLevel="0" collapsed="false">
      <c r="A37" s="35" t="s">
        <v>585</v>
      </c>
      <c r="B37" s="35" t="s">
        <v>574</v>
      </c>
      <c r="C37" s="35" t="s">
        <v>204</v>
      </c>
      <c r="D37" s="35" t="s">
        <v>211</v>
      </c>
      <c r="E37" s="35" t="s">
        <v>586</v>
      </c>
      <c r="F37" s="35" t="s">
        <v>587</v>
      </c>
      <c r="G37" s="35" t="s">
        <v>194</v>
      </c>
      <c r="H37" s="35" t="s">
        <v>184</v>
      </c>
      <c r="I37" s="35" t="s">
        <v>588</v>
      </c>
      <c r="J37" s="35" t="s">
        <v>589</v>
      </c>
      <c r="K37" s="35"/>
    </row>
    <row r="38" customFormat="false" ht="30" hidden="false" customHeight="true" outlineLevel="0" collapsed="false">
      <c r="A38" s="35" t="s">
        <v>590</v>
      </c>
      <c r="B38" s="35" t="s">
        <v>574</v>
      </c>
      <c r="C38" s="35" t="s">
        <v>204</v>
      </c>
      <c r="D38" s="35" t="s">
        <v>211</v>
      </c>
      <c r="E38" s="35" t="s">
        <v>591</v>
      </c>
      <c r="F38" s="35" t="s">
        <v>592</v>
      </c>
      <c r="G38" s="35" t="s">
        <v>197</v>
      </c>
      <c r="H38" s="35" t="s">
        <v>184</v>
      </c>
      <c r="I38" s="35" t="s">
        <v>593</v>
      </c>
      <c r="J38" s="35" t="s">
        <v>594</v>
      </c>
      <c r="K38" s="35"/>
    </row>
    <row r="39" customFormat="false" ht="30" hidden="false" customHeight="true" outlineLevel="0" collapsed="false">
      <c r="A39" s="35" t="s">
        <v>595</v>
      </c>
      <c r="B39" s="35" t="s">
        <v>574</v>
      </c>
      <c r="C39" s="35" t="s">
        <v>207</v>
      </c>
      <c r="D39" s="35" t="s">
        <v>211</v>
      </c>
      <c r="E39" s="35" t="s">
        <v>596</v>
      </c>
      <c r="F39" s="35" t="s">
        <v>597</v>
      </c>
      <c r="G39" s="35" t="s">
        <v>194</v>
      </c>
      <c r="H39" s="35" t="s">
        <v>184</v>
      </c>
      <c r="I39" s="35" t="s">
        <v>583</v>
      </c>
      <c r="J39" s="35" t="s">
        <v>598</v>
      </c>
      <c r="K39" s="35"/>
    </row>
    <row r="40" customFormat="false" ht="30" hidden="false" customHeight="true" outlineLevel="0" collapsed="false">
      <c r="A40" s="35" t="s">
        <v>599</v>
      </c>
      <c r="B40" s="35" t="s">
        <v>574</v>
      </c>
      <c r="C40" s="35" t="s">
        <v>207</v>
      </c>
      <c r="D40" s="35" t="s">
        <v>211</v>
      </c>
      <c r="E40" s="35" t="s">
        <v>600</v>
      </c>
      <c r="F40" s="35" t="s">
        <v>601</v>
      </c>
      <c r="G40" s="35" t="s">
        <v>194</v>
      </c>
      <c r="H40" s="35" t="s">
        <v>184</v>
      </c>
      <c r="I40" s="35" t="s">
        <v>583</v>
      </c>
      <c r="J40" s="35" t="s">
        <v>602</v>
      </c>
      <c r="K40" s="35"/>
    </row>
    <row r="41" customFormat="false" ht="30" hidden="false" customHeight="true" outlineLevel="0" collapsed="false">
      <c r="A41" s="35" t="s">
        <v>603</v>
      </c>
      <c r="B41" s="35" t="s">
        <v>574</v>
      </c>
      <c r="C41" s="35" t="s">
        <v>207</v>
      </c>
      <c r="D41" s="35" t="s">
        <v>211</v>
      </c>
      <c r="E41" s="35" t="s">
        <v>604</v>
      </c>
      <c r="F41" s="35" t="s">
        <v>605</v>
      </c>
      <c r="G41" s="35" t="s">
        <v>194</v>
      </c>
      <c r="H41" s="35" t="s">
        <v>184</v>
      </c>
      <c r="I41" s="35" t="s">
        <v>583</v>
      </c>
      <c r="J41" s="35" t="s">
        <v>606</v>
      </c>
      <c r="K41" s="35"/>
    </row>
    <row r="42" customFormat="false" ht="30" hidden="false" customHeight="true" outlineLevel="0" collapsed="false">
      <c r="A42" s="35" t="s">
        <v>607</v>
      </c>
      <c r="B42" s="35" t="s">
        <v>574</v>
      </c>
      <c r="C42" s="35" t="s">
        <v>207</v>
      </c>
      <c r="D42" s="35" t="s">
        <v>211</v>
      </c>
      <c r="E42" s="35" t="s">
        <v>608</v>
      </c>
      <c r="F42" s="35" t="s">
        <v>609</v>
      </c>
      <c r="G42" s="35" t="s">
        <v>194</v>
      </c>
      <c r="H42" s="35" t="s">
        <v>184</v>
      </c>
      <c r="I42" s="35" t="s">
        <v>583</v>
      </c>
      <c r="J42" s="35" t="s">
        <v>610</v>
      </c>
      <c r="K42" s="35"/>
    </row>
    <row r="43" customFormat="false" ht="30" hidden="false" customHeight="true" outlineLevel="0" collapsed="false">
      <c r="A43" s="35" t="s">
        <v>611</v>
      </c>
      <c r="B43" s="35" t="s">
        <v>574</v>
      </c>
      <c r="C43" s="35" t="s">
        <v>207</v>
      </c>
      <c r="D43" s="35" t="s">
        <v>211</v>
      </c>
      <c r="E43" s="35" t="s">
        <v>612</v>
      </c>
      <c r="F43" s="35" t="s">
        <v>613</v>
      </c>
      <c r="G43" s="35" t="s">
        <v>194</v>
      </c>
      <c r="H43" s="35" t="s">
        <v>184</v>
      </c>
      <c r="I43" s="35" t="s">
        <v>614</v>
      </c>
      <c r="J43" s="35" t="s">
        <v>615</v>
      </c>
      <c r="K43" s="35"/>
    </row>
    <row r="44" customFormat="false" ht="30" hidden="false" customHeight="true" outlineLevel="0" collapsed="false">
      <c r="A44" s="35" t="s">
        <v>616</v>
      </c>
      <c r="B44" s="35" t="s">
        <v>574</v>
      </c>
      <c r="C44" s="35" t="s">
        <v>207</v>
      </c>
      <c r="D44" s="35" t="s">
        <v>211</v>
      </c>
      <c r="E44" s="35" t="s">
        <v>617</v>
      </c>
      <c r="F44" s="35" t="s">
        <v>618</v>
      </c>
      <c r="G44" s="35" t="s">
        <v>194</v>
      </c>
      <c r="H44" s="35" t="s">
        <v>184</v>
      </c>
      <c r="I44" s="35" t="s">
        <v>583</v>
      </c>
      <c r="J44" s="35" t="s">
        <v>619</v>
      </c>
      <c r="K44" s="35" t="s">
        <v>620</v>
      </c>
    </row>
    <row r="45" customFormat="false" ht="30" hidden="false" customHeight="true" outlineLevel="0" collapsed="false">
      <c r="A45" s="36" t="s">
        <v>621</v>
      </c>
      <c r="B45" s="36" t="s">
        <v>574</v>
      </c>
      <c r="C45" s="36" t="s">
        <v>207</v>
      </c>
      <c r="D45" s="36" t="s">
        <v>201</v>
      </c>
      <c r="E45" s="36" t="s">
        <v>622</v>
      </c>
      <c r="F45" s="36" t="s">
        <v>623</v>
      </c>
      <c r="G45" s="36" t="s">
        <v>200</v>
      </c>
      <c r="H45" s="36" t="s">
        <v>187</v>
      </c>
      <c r="I45" s="36" t="s">
        <v>583</v>
      </c>
      <c r="J45" s="36" t="s">
        <v>624</v>
      </c>
      <c r="K45" s="36"/>
    </row>
    <row r="46" customFormat="false" ht="30" hidden="false" customHeight="true" outlineLevel="0" collapsed="false">
      <c r="A46" s="36" t="s">
        <v>625</v>
      </c>
      <c r="B46" s="36" t="s">
        <v>574</v>
      </c>
      <c r="C46" s="36" t="s">
        <v>207</v>
      </c>
      <c r="D46" s="36" t="s">
        <v>201</v>
      </c>
      <c r="E46" s="36" t="s">
        <v>626</v>
      </c>
      <c r="F46" s="36" t="s">
        <v>627</v>
      </c>
      <c r="G46" s="36" t="s">
        <v>200</v>
      </c>
      <c r="H46" s="36" t="s">
        <v>184</v>
      </c>
      <c r="I46" s="36" t="s">
        <v>628</v>
      </c>
      <c r="J46" s="36" t="s">
        <v>629</v>
      </c>
      <c r="K46" s="36"/>
    </row>
    <row r="47" customFormat="false" ht="30" hidden="false" customHeight="true" outlineLevel="0" collapsed="false">
      <c r="A47" s="35" t="s">
        <v>630</v>
      </c>
      <c r="B47" s="35" t="s">
        <v>631</v>
      </c>
      <c r="C47" s="35" t="s">
        <v>207</v>
      </c>
      <c r="D47" s="35" t="s">
        <v>211</v>
      </c>
      <c r="E47" s="35" t="s">
        <v>632</v>
      </c>
      <c r="F47" s="35" t="s">
        <v>633</v>
      </c>
      <c r="G47" s="35" t="s">
        <v>194</v>
      </c>
      <c r="H47" s="35" t="s">
        <v>181</v>
      </c>
      <c r="I47" s="35" t="s">
        <v>343</v>
      </c>
      <c r="J47" s="35" t="s">
        <v>461</v>
      </c>
      <c r="K47" s="35"/>
    </row>
    <row r="48" customFormat="false" ht="30" hidden="false" customHeight="true" outlineLevel="0" collapsed="false">
      <c r="A48" s="35" t="s">
        <v>634</v>
      </c>
      <c r="B48" s="35" t="s">
        <v>631</v>
      </c>
      <c r="C48" s="35" t="s">
        <v>207</v>
      </c>
      <c r="D48" s="35" t="s">
        <v>211</v>
      </c>
      <c r="E48" s="35" t="s">
        <v>635</v>
      </c>
      <c r="F48" s="35" t="s">
        <v>636</v>
      </c>
      <c r="G48" s="35" t="s">
        <v>194</v>
      </c>
      <c r="H48" s="35" t="s">
        <v>181</v>
      </c>
      <c r="I48" s="35" t="s">
        <v>637</v>
      </c>
      <c r="J48" s="35" t="s">
        <v>638</v>
      </c>
      <c r="K48" s="35"/>
    </row>
    <row r="49" customFormat="false" ht="30" hidden="false" customHeight="true" outlineLevel="0" collapsed="false">
      <c r="A49" s="35" t="s">
        <v>639</v>
      </c>
      <c r="B49" s="35" t="s">
        <v>631</v>
      </c>
      <c r="C49" s="35" t="s">
        <v>204</v>
      </c>
      <c r="D49" s="35" t="s">
        <v>211</v>
      </c>
      <c r="E49" s="35" t="s">
        <v>640</v>
      </c>
      <c r="F49" s="35" t="s">
        <v>641</v>
      </c>
      <c r="G49" s="35" t="s">
        <v>194</v>
      </c>
      <c r="H49" s="35" t="s">
        <v>187</v>
      </c>
      <c r="I49" s="35" t="s">
        <v>642</v>
      </c>
      <c r="J49" s="35" t="s">
        <v>643</v>
      </c>
      <c r="K49" s="35"/>
    </row>
    <row r="50" customFormat="false" ht="30" hidden="false" customHeight="true" outlineLevel="0" collapsed="false">
      <c r="A50" s="35" t="s">
        <v>644</v>
      </c>
      <c r="B50" s="35" t="s">
        <v>631</v>
      </c>
      <c r="C50" s="35" t="s">
        <v>204</v>
      </c>
      <c r="D50" s="35" t="s">
        <v>211</v>
      </c>
      <c r="E50" s="35" t="s">
        <v>645</v>
      </c>
      <c r="F50" s="35" t="s">
        <v>646</v>
      </c>
      <c r="G50" s="35" t="s">
        <v>194</v>
      </c>
      <c r="H50" s="35" t="s">
        <v>184</v>
      </c>
      <c r="I50" s="35" t="s">
        <v>647</v>
      </c>
      <c r="J50" s="35" t="s">
        <v>648</v>
      </c>
      <c r="K50" s="35"/>
    </row>
    <row r="51" customFormat="false" ht="30" hidden="false" customHeight="true" outlineLevel="0" collapsed="false">
      <c r="A51" s="35" t="s">
        <v>649</v>
      </c>
      <c r="B51" s="35" t="s">
        <v>631</v>
      </c>
      <c r="C51" s="35" t="s">
        <v>207</v>
      </c>
      <c r="D51" s="35" t="s">
        <v>211</v>
      </c>
      <c r="E51" s="35" t="s">
        <v>650</v>
      </c>
      <c r="F51" s="35" t="s">
        <v>651</v>
      </c>
      <c r="G51" s="35" t="s">
        <v>194</v>
      </c>
      <c r="H51" s="35" t="s">
        <v>184</v>
      </c>
      <c r="I51" s="35" t="s">
        <v>652</v>
      </c>
      <c r="J51" s="35" t="s">
        <v>653</v>
      </c>
      <c r="K51" s="35"/>
    </row>
    <row r="52" customFormat="false" ht="30" hidden="false" customHeight="true" outlineLevel="0" collapsed="false">
      <c r="A52" s="35" t="s">
        <v>654</v>
      </c>
      <c r="B52" s="35" t="s">
        <v>631</v>
      </c>
      <c r="C52" s="35" t="s">
        <v>204</v>
      </c>
      <c r="D52" s="35" t="s">
        <v>211</v>
      </c>
      <c r="E52" s="35" t="s">
        <v>655</v>
      </c>
      <c r="F52" s="35" t="s">
        <v>656</v>
      </c>
      <c r="G52" s="35" t="s">
        <v>194</v>
      </c>
      <c r="H52" s="35" t="s">
        <v>184</v>
      </c>
      <c r="I52" s="35" t="s">
        <v>652</v>
      </c>
      <c r="J52" s="35" t="s">
        <v>657</v>
      </c>
      <c r="K52" s="35"/>
    </row>
    <row r="53" customFormat="false" ht="30" hidden="false" customHeight="true" outlineLevel="0" collapsed="false">
      <c r="A53" s="35" t="s">
        <v>658</v>
      </c>
      <c r="B53" s="35" t="s">
        <v>631</v>
      </c>
      <c r="C53" s="35" t="s">
        <v>207</v>
      </c>
      <c r="D53" s="35" t="s">
        <v>211</v>
      </c>
      <c r="E53" s="35" t="s">
        <v>659</v>
      </c>
      <c r="F53" s="35" t="s">
        <v>660</v>
      </c>
      <c r="G53" s="35" t="s">
        <v>194</v>
      </c>
      <c r="H53" s="35" t="s">
        <v>184</v>
      </c>
      <c r="I53" s="35" t="s">
        <v>661</v>
      </c>
      <c r="J53" s="35" t="s">
        <v>662</v>
      </c>
      <c r="K53" s="35"/>
    </row>
    <row r="54" customFormat="false" ht="30" hidden="false" customHeight="true" outlineLevel="0" collapsed="false">
      <c r="A54" s="35" t="s">
        <v>663</v>
      </c>
      <c r="B54" s="35" t="s">
        <v>631</v>
      </c>
      <c r="C54" s="35" t="s">
        <v>204</v>
      </c>
      <c r="D54" s="35" t="s">
        <v>211</v>
      </c>
      <c r="E54" s="35" t="s">
        <v>664</v>
      </c>
      <c r="F54" s="35" t="s">
        <v>665</v>
      </c>
      <c r="G54" s="35" t="s">
        <v>194</v>
      </c>
      <c r="H54" s="35" t="s">
        <v>184</v>
      </c>
      <c r="I54" s="35" t="s">
        <v>652</v>
      </c>
      <c r="J54" s="35" t="s">
        <v>666</v>
      </c>
      <c r="K54" s="35"/>
    </row>
    <row r="55" customFormat="false" ht="30" hidden="false" customHeight="true" outlineLevel="0" collapsed="false">
      <c r="A55" s="35" t="s">
        <v>667</v>
      </c>
      <c r="B55" s="35" t="s">
        <v>631</v>
      </c>
      <c r="C55" s="35" t="s">
        <v>204</v>
      </c>
      <c r="D55" s="35" t="s">
        <v>211</v>
      </c>
      <c r="E55" s="35" t="s">
        <v>668</v>
      </c>
      <c r="F55" s="35" t="s">
        <v>669</v>
      </c>
      <c r="G55" s="35" t="s">
        <v>194</v>
      </c>
      <c r="H55" s="35" t="s">
        <v>187</v>
      </c>
      <c r="I55" s="35" t="s">
        <v>670</v>
      </c>
      <c r="J55" s="35" t="s">
        <v>671</v>
      </c>
      <c r="K55" s="35" t="s">
        <v>672</v>
      </c>
    </row>
    <row r="56" customFormat="false" ht="30" hidden="false" customHeight="true" outlineLevel="0" collapsed="false">
      <c r="A56" s="35" t="s">
        <v>673</v>
      </c>
      <c r="B56" s="35" t="s">
        <v>631</v>
      </c>
      <c r="C56" s="35" t="s">
        <v>204</v>
      </c>
      <c r="D56" s="35" t="s">
        <v>211</v>
      </c>
      <c r="E56" s="35" t="s">
        <v>674</v>
      </c>
      <c r="F56" s="35" t="s">
        <v>675</v>
      </c>
      <c r="G56" s="35" t="s">
        <v>194</v>
      </c>
      <c r="H56" s="35" t="s">
        <v>184</v>
      </c>
      <c r="I56" s="35" t="s">
        <v>676</v>
      </c>
      <c r="J56" s="35" t="s">
        <v>677</v>
      </c>
      <c r="K56" s="35"/>
    </row>
    <row r="57" customFormat="false" ht="30" hidden="false" customHeight="true" outlineLevel="0" collapsed="false">
      <c r="A57" s="36" t="s">
        <v>678</v>
      </c>
      <c r="B57" s="36" t="s">
        <v>631</v>
      </c>
      <c r="C57" s="36" t="s">
        <v>204</v>
      </c>
      <c r="D57" s="36" t="s">
        <v>201</v>
      </c>
      <c r="E57" s="36" t="s">
        <v>679</v>
      </c>
      <c r="F57" s="36" t="s">
        <v>680</v>
      </c>
      <c r="G57" s="36" t="s">
        <v>200</v>
      </c>
      <c r="H57" s="36" t="s">
        <v>184</v>
      </c>
      <c r="I57" s="36" t="s">
        <v>652</v>
      </c>
      <c r="J57" s="36" t="s">
        <v>681</v>
      </c>
      <c r="K57" s="36"/>
    </row>
    <row r="58" customFormat="false" ht="30" hidden="false" customHeight="true" outlineLevel="0" collapsed="false">
      <c r="A58" s="36" t="s">
        <v>682</v>
      </c>
      <c r="B58" s="36" t="s">
        <v>631</v>
      </c>
      <c r="C58" s="36" t="s">
        <v>207</v>
      </c>
      <c r="D58" s="36" t="s">
        <v>201</v>
      </c>
      <c r="E58" s="36" t="s">
        <v>683</v>
      </c>
      <c r="F58" s="36" t="s">
        <v>684</v>
      </c>
      <c r="G58" s="36" t="s">
        <v>200</v>
      </c>
      <c r="H58" s="36" t="s">
        <v>187</v>
      </c>
      <c r="I58" s="36" t="s">
        <v>685</v>
      </c>
      <c r="J58" s="36" t="s">
        <v>686</v>
      </c>
      <c r="K58" s="36"/>
    </row>
    <row r="59" customFormat="false" ht="30" hidden="false" customHeight="true" outlineLevel="0" collapsed="false">
      <c r="A59" s="36" t="s">
        <v>687</v>
      </c>
      <c r="B59" s="36" t="s">
        <v>631</v>
      </c>
      <c r="C59" s="36" t="s">
        <v>204</v>
      </c>
      <c r="D59" s="36" t="s">
        <v>201</v>
      </c>
      <c r="E59" s="36" t="s">
        <v>688</v>
      </c>
      <c r="F59" s="36" t="s">
        <v>689</v>
      </c>
      <c r="G59" s="36" t="s">
        <v>200</v>
      </c>
      <c r="H59" s="36" t="s">
        <v>184</v>
      </c>
      <c r="I59" s="36" t="s">
        <v>690</v>
      </c>
      <c r="J59" s="36" t="s">
        <v>691</v>
      </c>
      <c r="K59" s="36"/>
    </row>
    <row r="60" customFormat="false" ht="30" hidden="false" customHeight="true" outlineLevel="0" collapsed="false">
      <c r="A60" s="35" t="s">
        <v>692</v>
      </c>
      <c r="B60" s="35" t="s">
        <v>693</v>
      </c>
      <c r="C60" s="35" t="s">
        <v>204</v>
      </c>
      <c r="D60" s="35" t="s">
        <v>211</v>
      </c>
      <c r="E60" s="35" t="s">
        <v>694</v>
      </c>
      <c r="F60" s="35" t="s">
        <v>695</v>
      </c>
      <c r="G60" s="35" t="s">
        <v>194</v>
      </c>
      <c r="H60" s="35" t="s">
        <v>184</v>
      </c>
      <c r="I60" s="35" t="s">
        <v>343</v>
      </c>
      <c r="J60" s="35" t="s">
        <v>696</v>
      </c>
      <c r="K60" s="35"/>
    </row>
    <row r="61" customFormat="false" ht="30" hidden="false" customHeight="true" outlineLevel="0" collapsed="false">
      <c r="A61" s="35" t="s">
        <v>697</v>
      </c>
      <c r="B61" s="35" t="s">
        <v>693</v>
      </c>
      <c r="C61" s="35" t="s">
        <v>204</v>
      </c>
      <c r="D61" s="35" t="s">
        <v>211</v>
      </c>
      <c r="E61" s="35" t="s">
        <v>698</v>
      </c>
      <c r="F61" s="35" t="s">
        <v>699</v>
      </c>
      <c r="G61" s="35" t="s">
        <v>194</v>
      </c>
      <c r="H61" s="35" t="s">
        <v>187</v>
      </c>
      <c r="I61" s="35" t="s">
        <v>700</v>
      </c>
      <c r="J61" s="35" t="s">
        <v>701</v>
      </c>
      <c r="K61" s="35"/>
    </row>
    <row r="62" customFormat="false" ht="30" hidden="false" customHeight="true" outlineLevel="0" collapsed="false">
      <c r="A62" s="35" t="s">
        <v>702</v>
      </c>
      <c r="B62" s="35" t="s">
        <v>693</v>
      </c>
      <c r="C62" s="35" t="s">
        <v>204</v>
      </c>
      <c r="D62" s="35" t="s">
        <v>211</v>
      </c>
      <c r="E62" s="35" t="s">
        <v>703</v>
      </c>
      <c r="F62" s="35" t="s">
        <v>704</v>
      </c>
      <c r="G62" s="35" t="s">
        <v>197</v>
      </c>
      <c r="H62" s="35" t="s">
        <v>187</v>
      </c>
      <c r="I62" s="35" t="s">
        <v>705</v>
      </c>
      <c r="J62" s="35" t="s">
        <v>706</v>
      </c>
      <c r="K62" s="35"/>
    </row>
    <row r="63" customFormat="false" ht="30" hidden="false" customHeight="true" outlineLevel="0" collapsed="false">
      <c r="A63" s="35" t="s">
        <v>707</v>
      </c>
      <c r="B63" s="35" t="s">
        <v>693</v>
      </c>
      <c r="C63" s="35" t="s">
        <v>204</v>
      </c>
      <c r="D63" s="35" t="s">
        <v>211</v>
      </c>
      <c r="E63" s="35" t="s">
        <v>708</v>
      </c>
      <c r="F63" s="35" t="s">
        <v>709</v>
      </c>
      <c r="G63" s="35" t="s">
        <v>197</v>
      </c>
      <c r="H63" s="35" t="s">
        <v>184</v>
      </c>
      <c r="I63" s="35" t="s">
        <v>710</v>
      </c>
      <c r="J63" s="35" t="s">
        <v>711</v>
      </c>
      <c r="K63" s="35"/>
    </row>
    <row r="64" customFormat="false" ht="30" hidden="false" customHeight="true" outlineLevel="0" collapsed="false">
      <c r="A64" s="35" t="s">
        <v>712</v>
      </c>
      <c r="B64" s="35" t="s">
        <v>693</v>
      </c>
      <c r="C64" s="35" t="s">
        <v>204</v>
      </c>
      <c r="D64" s="35" t="s">
        <v>211</v>
      </c>
      <c r="E64" s="35" t="s">
        <v>713</v>
      </c>
      <c r="F64" s="35" t="s">
        <v>714</v>
      </c>
      <c r="G64" s="35" t="s">
        <v>194</v>
      </c>
      <c r="H64" s="35" t="s">
        <v>184</v>
      </c>
      <c r="I64" s="35" t="s">
        <v>715</v>
      </c>
      <c r="J64" s="35" t="s">
        <v>716</v>
      </c>
      <c r="K64" s="35"/>
    </row>
    <row r="65" customFormat="false" ht="30" hidden="false" customHeight="true" outlineLevel="0" collapsed="false">
      <c r="A65" s="35" t="s">
        <v>717</v>
      </c>
      <c r="B65" s="35" t="s">
        <v>693</v>
      </c>
      <c r="C65" s="35" t="s">
        <v>204</v>
      </c>
      <c r="D65" s="35" t="s">
        <v>211</v>
      </c>
      <c r="E65" s="35" t="s">
        <v>718</v>
      </c>
      <c r="F65" s="35" t="s">
        <v>719</v>
      </c>
      <c r="G65" s="35" t="s">
        <v>194</v>
      </c>
      <c r="H65" s="35" t="s">
        <v>187</v>
      </c>
      <c r="I65" s="35" t="s">
        <v>720</v>
      </c>
      <c r="J65" s="35" t="s">
        <v>721</v>
      </c>
      <c r="K65" s="35"/>
    </row>
    <row r="66" customFormat="false" ht="30" hidden="false" customHeight="true" outlineLevel="0" collapsed="false">
      <c r="A66" s="35" t="s">
        <v>722</v>
      </c>
      <c r="B66" s="35" t="s">
        <v>693</v>
      </c>
      <c r="C66" s="35" t="s">
        <v>204</v>
      </c>
      <c r="D66" s="35" t="s">
        <v>211</v>
      </c>
      <c r="E66" s="35" t="s">
        <v>723</v>
      </c>
      <c r="F66" s="35" t="s">
        <v>724</v>
      </c>
      <c r="G66" s="35" t="s">
        <v>194</v>
      </c>
      <c r="H66" s="35" t="s">
        <v>184</v>
      </c>
      <c r="I66" s="35" t="s">
        <v>725</v>
      </c>
      <c r="J66" s="35" t="s">
        <v>726</v>
      </c>
      <c r="K66" s="35"/>
    </row>
    <row r="67" customFormat="false" ht="30" hidden="false" customHeight="true" outlineLevel="0" collapsed="false">
      <c r="A67" s="35" t="s">
        <v>727</v>
      </c>
      <c r="B67" s="35" t="s">
        <v>693</v>
      </c>
      <c r="C67" s="35" t="s">
        <v>204</v>
      </c>
      <c r="D67" s="35" t="s">
        <v>211</v>
      </c>
      <c r="E67" s="35" t="s">
        <v>728</v>
      </c>
      <c r="F67" s="35" t="s">
        <v>729</v>
      </c>
      <c r="G67" s="35" t="s">
        <v>194</v>
      </c>
      <c r="H67" s="35" t="s">
        <v>184</v>
      </c>
      <c r="I67" s="35" t="s">
        <v>730</v>
      </c>
      <c r="J67" s="35" t="s">
        <v>731</v>
      </c>
      <c r="K67" s="35"/>
    </row>
    <row r="68" customFormat="false" ht="30" hidden="false" customHeight="true" outlineLevel="0" collapsed="false">
      <c r="A68" s="35" t="s">
        <v>732</v>
      </c>
      <c r="B68" s="35" t="s">
        <v>693</v>
      </c>
      <c r="C68" s="35" t="s">
        <v>204</v>
      </c>
      <c r="D68" s="35" t="s">
        <v>211</v>
      </c>
      <c r="E68" s="35" t="s">
        <v>733</v>
      </c>
      <c r="F68" s="35" t="s">
        <v>734</v>
      </c>
      <c r="G68" s="35" t="s">
        <v>194</v>
      </c>
      <c r="H68" s="35" t="s">
        <v>187</v>
      </c>
      <c r="I68" s="35" t="s">
        <v>735</v>
      </c>
      <c r="J68" s="35" t="s">
        <v>736</v>
      </c>
      <c r="K68" s="35"/>
    </row>
    <row r="69" customFormat="false" ht="30" hidden="false" customHeight="true" outlineLevel="0" collapsed="false">
      <c r="A69" s="35" t="s">
        <v>737</v>
      </c>
      <c r="B69" s="35" t="s">
        <v>693</v>
      </c>
      <c r="C69" s="35" t="s">
        <v>204</v>
      </c>
      <c r="D69" s="35" t="s">
        <v>211</v>
      </c>
      <c r="E69" s="35" t="s">
        <v>738</v>
      </c>
      <c r="F69" s="35" t="s">
        <v>739</v>
      </c>
      <c r="G69" s="35" t="s">
        <v>194</v>
      </c>
      <c r="H69" s="35" t="s">
        <v>184</v>
      </c>
      <c r="I69" s="35" t="s">
        <v>740</v>
      </c>
      <c r="J69" s="35" t="s">
        <v>741</v>
      </c>
      <c r="K69" s="35"/>
    </row>
    <row r="70" customFormat="false" ht="30" hidden="false" customHeight="true" outlineLevel="0" collapsed="false">
      <c r="A70" s="36" t="s">
        <v>742</v>
      </c>
      <c r="B70" s="36" t="s">
        <v>693</v>
      </c>
      <c r="C70" s="36" t="s">
        <v>207</v>
      </c>
      <c r="D70" s="36" t="s">
        <v>201</v>
      </c>
      <c r="E70" s="36" t="s">
        <v>743</v>
      </c>
      <c r="F70" s="36" t="s">
        <v>744</v>
      </c>
      <c r="G70" s="36" t="s">
        <v>200</v>
      </c>
      <c r="H70" s="36" t="s">
        <v>184</v>
      </c>
      <c r="I70" s="36" t="s">
        <v>745</v>
      </c>
      <c r="J70" s="36" t="s">
        <v>746</v>
      </c>
      <c r="K70" s="36"/>
    </row>
    <row r="71" customFormat="false" ht="30" hidden="false" customHeight="true" outlineLevel="0" collapsed="false">
      <c r="A71" s="36" t="s">
        <v>747</v>
      </c>
      <c r="B71" s="36" t="s">
        <v>693</v>
      </c>
      <c r="C71" s="36" t="s">
        <v>207</v>
      </c>
      <c r="D71" s="36" t="s">
        <v>201</v>
      </c>
      <c r="E71" s="36" t="s">
        <v>748</v>
      </c>
      <c r="F71" s="36" t="s">
        <v>749</v>
      </c>
      <c r="G71" s="36" t="s">
        <v>200</v>
      </c>
      <c r="H71" s="36" t="s">
        <v>181</v>
      </c>
      <c r="I71" s="36" t="s">
        <v>745</v>
      </c>
      <c r="J71" s="36" t="s">
        <v>750</v>
      </c>
      <c r="K71" s="36"/>
    </row>
    <row r="72" customFormat="false" ht="30" hidden="false" customHeight="true" outlineLevel="0" collapsed="false">
      <c r="A72" s="35" t="s">
        <v>751</v>
      </c>
      <c r="B72" s="35" t="s">
        <v>752</v>
      </c>
      <c r="C72" s="35" t="s">
        <v>207</v>
      </c>
      <c r="D72" s="35" t="s">
        <v>211</v>
      </c>
      <c r="E72" s="35" t="s">
        <v>753</v>
      </c>
      <c r="F72" s="35" t="s">
        <v>754</v>
      </c>
      <c r="G72" s="35" t="s">
        <v>194</v>
      </c>
      <c r="H72" s="35" t="s">
        <v>184</v>
      </c>
      <c r="I72" s="35" t="s">
        <v>343</v>
      </c>
      <c r="J72" s="35" t="s">
        <v>755</v>
      </c>
      <c r="K72" s="35"/>
    </row>
    <row r="73" customFormat="false" ht="30" hidden="false" customHeight="true" outlineLevel="0" collapsed="false">
      <c r="A73" s="35" t="s">
        <v>756</v>
      </c>
      <c r="B73" s="35" t="s">
        <v>752</v>
      </c>
      <c r="C73" s="35" t="s">
        <v>204</v>
      </c>
      <c r="D73" s="35" t="s">
        <v>211</v>
      </c>
      <c r="E73" s="35" t="s">
        <v>757</v>
      </c>
      <c r="F73" s="35" t="s">
        <v>758</v>
      </c>
      <c r="G73" s="35" t="s">
        <v>194</v>
      </c>
      <c r="H73" s="35" t="s">
        <v>187</v>
      </c>
      <c r="I73" s="35" t="s">
        <v>759</v>
      </c>
      <c r="J73" s="35" t="s">
        <v>760</v>
      </c>
      <c r="K73" s="35"/>
    </row>
    <row r="74" customFormat="false" ht="30" hidden="false" customHeight="true" outlineLevel="0" collapsed="false">
      <c r="A74" s="35" t="s">
        <v>761</v>
      </c>
      <c r="B74" s="35" t="s">
        <v>752</v>
      </c>
      <c r="C74" s="35" t="s">
        <v>204</v>
      </c>
      <c r="D74" s="35" t="s">
        <v>211</v>
      </c>
      <c r="E74" s="35" t="s">
        <v>762</v>
      </c>
      <c r="F74" s="35" t="s">
        <v>763</v>
      </c>
      <c r="G74" s="35" t="s">
        <v>194</v>
      </c>
      <c r="H74" s="35" t="s">
        <v>184</v>
      </c>
      <c r="I74" s="35" t="s">
        <v>764</v>
      </c>
      <c r="J74" s="35" t="s">
        <v>765</v>
      </c>
      <c r="K74" s="35"/>
    </row>
    <row r="75" customFormat="false" ht="30" hidden="false" customHeight="true" outlineLevel="0" collapsed="false">
      <c r="A75" s="35" t="s">
        <v>766</v>
      </c>
      <c r="B75" s="35" t="s">
        <v>752</v>
      </c>
      <c r="C75" s="35" t="s">
        <v>204</v>
      </c>
      <c r="D75" s="35" t="s">
        <v>211</v>
      </c>
      <c r="E75" s="35" t="s">
        <v>767</v>
      </c>
      <c r="F75" s="35" t="s">
        <v>768</v>
      </c>
      <c r="G75" s="35" t="s">
        <v>194</v>
      </c>
      <c r="H75" s="35" t="s">
        <v>184</v>
      </c>
      <c r="I75" s="35" t="s">
        <v>764</v>
      </c>
      <c r="J75" s="35" t="s">
        <v>769</v>
      </c>
      <c r="K75" s="35"/>
    </row>
    <row r="76" customFormat="false" ht="30" hidden="false" customHeight="true" outlineLevel="0" collapsed="false">
      <c r="A76" s="35" t="s">
        <v>770</v>
      </c>
      <c r="B76" s="35" t="s">
        <v>752</v>
      </c>
      <c r="C76" s="35" t="s">
        <v>207</v>
      </c>
      <c r="D76" s="35" t="s">
        <v>211</v>
      </c>
      <c r="E76" s="35" t="s">
        <v>771</v>
      </c>
      <c r="F76" s="35" t="s">
        <v>772</v>
      </c>
      <c r="G76" s="35" t="s">
        <v>194</v>
      </c>
      <c r="H76" s="35" t="s">
        <v>184</v>
      </c>
      <c r="I76" s="35" t="s">
        <v>764</v>
      </c>
      <c r="J76" s="35" t="s">
        <v>773</v>
      </c>
      <c r="K76" s="35"/>
    </row>
    <row r="77" customFormat="false" ht="30" hidden="false" customHeight="true" outlineLevel="0" collapsed="false">
      <c r="A77" s="35" t="s">
        <v>774</v>
      </c>
      <c r="B77" s="35" t="s">
        <v>752</v>
      </c>
      <c r="C77" s="35" t="s">
        <v>207</v>
      </c>
      <c r="D77" s="35" t="s">
        <v>211</v>
      </c>
      <c r="E77" s="35" t="s">
        <v>775</v>
      </c>
      <c r="F77" s="35" t="s">
        <v>776</v>
      </c>
      <c r="G77" s="35" t="s">
        <v>197</v>
      </c>
      <c r="H77" s="35" t="s">
        <v>181</v>
      </c>
      <c r="I77" s="35" t="s">
        <v>777</v>
      </c>
      <c r="J77" s="35" t="s">
        <v>778</v>
      </c>
      <c r="K77" s="35"/>
    </row>
    <row r="78" customFormat="false" ht="30" hidden="false" customHeight="true" outlineLevel="0" collapsed="false">
      <c r="A78" s="36" t="s">
        <v>779</v>
      </c>
      <c r="B78" s="36" t="s">
        <v>752</v>
      </c>
      <c r="C78" s="36" t="s">
        <v>204</v>
      </c>
      <c r="D78" s="36" t="s">
        <v>201</v>
      </c>
      <c r="E78" s="36" t="s">
        <v>780</v>
      </c>
      <c r="F78" s="36" t="s">
        <v>781</v>
      </c>
      <c r="G78" s="36" t="s">
        <v>200</v>
      </c>
      <c r="H78" s="36" t="s">
        <v>184</v>
      </c>
      <c r="I78" s="36" t="s">
        <v>782</v>
      </c>
      <c r="J78" s="36" t="s">
        <v>783</v>
      </c>
      <c r="K78" s="36"/>
    </row>
    <row r="79" customFormat="false" ht="30" hidden="false" customHeight="true" outlineLevel="0" collapsed="false">
      <c r="A79" s="36" t="s">
        <v>784</v>
      </c>
      <c r="B79" s="36" t="s">
        <v>752</v>
      </c>
      <c r="C79" s="36" t="s">
        <v>204</v>
      </c>
      <c r="D79" s="36" t="s">
        <v>201</v>
      </c>
      <c r="E79" s="36" t="s">
        <v>785</v>
      </c>
      <c r="F79" s="36" t="s">
        <v>786</v>
      </c>
      <c r="G79" s="36" t="s">
        <v>200</v>
      </c>
      <c r="H79" s="36" t="s">
        <v>184</v>
      </c>
      <c r="I79" s="36" t="s">
        <v>782</v>
      </c>
      <c r="J79" s="36" t="s">
        <v>787</v>
      </c>
      <c r="K79" s="36"/>
    </row>
    <row r="80" customFormat="false" ht="30" hidden="false" customHeight="true" outlineLevel="0" collapsed="false">
      <c r="A80" s="35" t="s">
        <v>788</v>
      </c>
      <c r="B80" s="35" t="s">
        <v>789</v>
      </c>
      <c r="C80" s="35" t="s">
        <v>207</v>
      </c>
      <c r="D80" s="35" t="s">
        <v>211</v>
      </c>
      <c r="E80" s="35" t="s">
        <v>790</v>
      </c>
      <c r="F80" s="35" t="s">
        <v>791</v>
      </c>
      <c r="G80" s="35" t="s">
        <v>194</v>
      </c>
      <c r="H80" s="35" t="s">
        <v>181</v>
      </c>
      <c r="I80" s="35" t="s">
        <v>328</v>
      </c>
      <c r="J80" s="35" t="s">
        <v>792</v>
      </c>
      <c r="K80" s="35"/>
    </row>
    <row r="81" customFormat="false" ht="30" hidden="false" customHeight="true" outlineLevel="0" collapsed="false">
      <c r="A81" s="35" t="s">
        <v>793</v>
      </c>
      <c r="B81" s="35" t="s">
        <v>789</v>
      </c>
      <c r="C81" s="35" t="s">
        <v>207</v>
      </c>
      <c r="D81" s="35" t="s">
        <v>211</v>
      </c>
      <c r="E81" s="35" t="s">
        <v>794</v>
      </c>
      <c r="F81" s="35" t="s">
        <v>795</v>
      </c>
      <c r="G81" s="35" t="s">
        <v>194</v>
      </c>
      <c r="H81" s="35" t="s">
        <v>181</v>
      </c>
      <c r="I81" s="35" t="s">
        <v>796</v>
      </c>
      <c r="J81" s="35" t="s">
        <v>797</v>
      </c>
      <c r="K81" s="35"/>
    </row>
    <row r="82" customFormat="false" ht="30" hidden="false" customHeight="true" outlineLevel="0" collapsed="false">
      <c r="A82" s="35" t="s">
        <v>798</v>
      </c>
      <c r="B82" s="35" t="s">
        <v>789</v>
      </c>
      <c r="C82" s="35" t="s">
        <v>207</v>
      </c>
      <c r="D82" s="35" t="s">
        <v>211</v>
      </c>
      <c r="E82" s="35" t="s">
        <v>799</v>
      </c>
      <c r="F82" s="35" t="s">
        <v>800</v>
      </c>
      <c r="G82" s="35" t="s">
        <v>194</v>
      </c>
      <c r="H82" s="35" t="s">
        <v>184</v>
      </c>
      <c r="I82" s="35" t="s">
        <v>801</v>
      </c>
      <c r="J82" s="35" t="s">
        <v>802</v>
      </c>
      <c r="K82" s="35"/>
    </row>
    <row r="83" customFormat="false" ht="30" hidden="false" customHeight="true" outlineLevel="0" collapsed="false">
      <c r="A83" s="35" t="s">
        <v>803</v>
      </c>
      <c r="B83" s="35" t="s">
        <v>789</v>
      </c>
      <c r="C83" s="35" t="s">
        <v>204</v>
      </c>
      <c r="D83" s="35" t="s">
        <v>211</v>
      </c>
      <c r="E83" s="35" t="s">
        <v>804</v>
      </c>
      <c r="F83" s="35" t="s">
        <v>805</v>
      </c>
      <c r="G83" s="35" t="s">
        <v>194</v>
      </c>
      <c r="H83" s="35" t="s">
        <v>184</v>
      </c>
      <c r="I83" s="35" t="s">
        <v>806</v>
      </c>
      <c r="J83" s="35" t="s">
        <v>807</v>
      </c>
      <c r="K83" s="35"/>
    </row>
    <row r="84" customFormat="false" ht="30" hidden="false" customHeight="true" outlineLevel="0" collapsed="false">
      <c r="A84" s="35" t="s">
        <v>808</v>
      </c>
      <c r="B84" s="35" t="s">
        <v>789</v>
      </c>
      <c r="C84" s="35" t="s">
        <v>204</v>
      </c>
      <c r="D84" s="35" t="s">
        <v>211</v>
      </c>
      <c r="E84" s="35" t="s">
        <v>809</v>
      </c>
      <c r="F84" s="35" t="s">
        <v>810</v>
      </c>
      <c r="G84" s="35" t="s">
        <v>194</v>
      </c>
      <c r="H84" s="35" t="s">
        <v>187</v>
      </c>
      <c r="I84" s="35" t="s">
        <v>811</v>
      </c>
      <c r="J84" s="35" t="s">
        <v>812</v>
      </c>
      <c r="K84" s="35"/>
    </row>
    <row r="85" customFormat="false" ht="30" hidden="false" customHeight="true" outlineLevel="0" collapsed="false">
      <c r="A85" s="35" t="s">
        <v>813</v>
      </c>
      <c r="B85" s="35" t="s">
        <v>789</v>
      </c>
      <c r="C85" s="35" t="s">
        <v>204</v>
      </c>
      <c r="D85" s="35" t="s">
        <v>211</v>
      </c>
      <c r="E85" s="35" t="s">
        <v>814</v>
      </c>
      <c r="F85" s="35" t="s">
        <v>815</v>
      </c>
      <c r="G85" s="35" t="s">
        <v>197</v>
      </c>
      <c r="H85" s="35" t="s">
        <v>181</v>
      </c>
      <c r="I85" s="35" t="s">
        <v>816</v>
      </c>
      <c r="J85" s="35" t="s">
        <v>817</v>
      </c>
      <c r="K85" s="35"/>
    </row>
    <row r="86" customFormat="false" ht="30" hidden="false" customHeight="true" outlineLevel="0" collapsed="false">
      <c r="A86" s="35" t="s">
        <v>818</v>
      </c>
      <c r="B86" s="35" t="s">
        <v>789</v>
      </c>
      <c r="C86" s="35" t="s">
        <v>204</v>
      </c>
      <c r="D86" s="35" t="s">
        <v>211</v>
      </c>
      <c r="E86" s="35" t="s">
        <v>819</v>
      </c>
      <c r="F86" s="35" t="s">
        <v>820</v>
      </c>
      <c r="G86" s="35" t="s">
        <v>197</v>
      </c>
      <c r="H86" s="35" t="s">
        <v>184</v>
      </c>
      <c r="I86" s="35" t="s">
        <v>821</v>
      </c>
      <c r="J86" s="35" t="s">
        <v>822</v>
      </c>
      <c r="K86" s="35"/>
    </row>
    <row r="87" customFormat="false" ht="30" hidden="false" customHeight="true" outlineLevel="0" collapsed="false">
      <c r="A87" s="35" t="s">
        <v>823</v>
      </c>
      <c r="B87" s="35" t="s">
        <v>789</v>
      </c>
      <c r="C87" s="35" t="s">
        <v>204</v>
      </c>
      <c r="D87" s="35" t="s">
        <v>211</v>
      </c>
      <c r="E87" s="35" t="s">
        <v>824</v>
      </c>
      <c r="F87" s="35" t="s">
        <v>825</v>
      </c>
      <c r="G87" s="35" t="s">
        <v>197</v>
      </c>
      <c r="H87" s="35" t="s">
        <v>184</v>
      </c>
      <c r="I87" s="35" t="s">
        <v>826</v>
      </c>
      <c r="J87" s="35" t="s">
        <v>827</v>
      </c>
      <c r="K87" s="35"/>
    </row>
    <row r="88" customFormat="false" ht="30" hidden="false" customHeight="true" outlineLevel="0" collapsed="false">
      <c r="A88" s="36" t="s">
        <v>828</v>
      </c>
      <c r="B88" s="36" t="s">
        <v>789</v>
      </c>
      <c r="C88" s="36" t="s">
        <v>207</v>
      </c>
      <c r="D88" s="36" t="s">
        <v>201</v>
      </c>
      <c r="E88" s="36" t="s">
        <v>829</v>
      </c>
      <c r="F88" s="36" t="s">
        <v>830</v>
      </c>
      <c r="G88" s="36" t="s">
        <v>200</v>
      </c>
      <c r="H88" s="36" t="s">
        <v>187</v>
      </c>
      <c r="I88" s="36" t="s">
        <v>831</v>
      </c>
      <c r="J88" s="36" t="s">
        <v>832</v>
      </c>
      <c r="K88" s="36"/>
    </row>
    <row r="89" customFormat="false" ht="30" hidden="false" customHeight="true" outlineLevel="0" collapsed="false">
      <c r="A89" s="36" t="s">
        <v>833</v>
      </c>
      <c r="B89" s="36" t="s">
        <v>789</v>
      </c>
      <c r="C89" s="36" t="s">
        <v>204</v>
      </c>
      <c r="D89" s="36" t="s">
        <v>201</v>
      </c>
      <c r="E89" s="36" t="s">
        <v>834</v>
      </c>
      <c r="F89" s="36" t="s">
        <v>835</v>
      </c>
      <c r="G89" s="36" t="s">
        <v>200</v>
      </c>
      <c r="H89" s="36" t="s">
        <v>187</v>
      </c>
      <c r="I89" s="36" t="s">
        <v>816</v>
      </c>
      <c r="J89" s="36" t="s">
        <v>836</v>
      </c>
      <c r="K89" s="36"/>
    </row>
    <row r="90" customFormat="false" ht="30" hidden="false" customHeight="true" outlineLevel="0" collapsed="false">
      <c r="A90" s="35" t="s">
        <v>837</v>
      </c>
      <c r="B90" s="35" t="s">
        <v>838</v>
      </c>
      <c r="C90" s="35" t="s">
        <v>204</v>
      </c>
      <c r="D90" s="35" t="s">
        <v>211</v>
      </c>
      <c r="E90" s="35" t="s">
        <v>839</v>
      </c>
      <c r="F90" s="35" t="s">
        <v>840</v>
      </c>
      <c r="G90" s="35" t="s">
        <v>194</v>
      </c>
      <c r="H90" s="35" t="s">
        <v>187</v>
      </c>
      <c r="I90" s="35" t="s">
        <v>841</v>
      </c>
      <c r="J90" s="35" t="s">
        <v>842</v>
      </c>
      <c r="K90" s="35"/>
    </row>
    <row r="91" customFormat="false" ht="30" hidden="false" customHeight="true" outlineLevel="0" collapsed="false">
      <c r="A91" s="35" t="s">
        <v>843</v>
      </c>
      <c r="B91" s="35" t="s">
        <v>838</v>
      </c>
      <c r="C91" s="35" t="s">
        <v>204</v>
      </c>
      <c r="D91" s="35" t="s">
        <v>211</v>
      </c>
      <c r="E91" s="35" t="s">
        <v>844</v>
      </c>
      <c r="F91" s="35" t="s">
        <v>845</v>
      </c>
      <c r="G91" s="35" t="s">
        <v>194</v>
      </c>
      <c r="H91" s="35" t="s">
        <v>184</v>
      </c>
      <c r="I91" s="35" t="s">
        <v>846</v>
      </c>
      <c r="J91" s="35" t="s">
        <v>847</v>
      </c>
      <c r="K91" s="35"/>
    </row>
    <row r="92" customFormat="false" ht="30" hidden="false" customHeight="true" outlineLevel="0" collapsed="false">
      <c r="A92" s="35" t="s">
        <v>848</v>
      </c>
      <c r="B92" s="35" t="s">
        <v>838</v>
      </c>
      <c r="C92" s="35" t="s">
        <v>204</v>
      </c>
      <c r="D92" s="35" t="s">
        <v>211</v>
      </c>
      <c r="E92" s="35" t="s">
        <v>849</v>
      </c>
      <c r="F92" s="35" t="s">
        <v>850</v>
      </c>
      <c r="G92" s="35" t="s">
        <v>194</v>
      </c>
      <c r="H92" s="35" t="s">
        <v>184</v>
      </c>
      <c r="I92" s="35" t="s">
        <v>851</v>
      </c>
      <c r="J92" s="35" t="s">
        <v>852</v>
      </c>
      <c r="K92" s="35"/>
    </row>
    <row r="93" customFormat="false" ht="30" hidden="false" customHeight="true" outlineLevel="0" collapsed="false">
      <c r="A93" s="35" t="s">
        <v>853</v>
      </c>
      <c r="B93" s="35" t="s">
        <v>838</v>
      </c>
      <c r="C93" s="35" t="s">
        <v>204</v>
      </c>
      <c r="D93" s="35" t="s">
        <v>211</v>
      </c>
      <c r="E93" s="35" t="s">
        <v>854</v>
      </c>
      <c r="F93" s="35" t="s">
        <v>855</v>
      </c>
      <c r="G93" s="35" t="s">
        <v>194</v>
      </c>
      <c r="H93" s="35" t="s">
        <v>184</v>
      </c>
      <c r="I93" s="35" t="s">
        <v>856</v>
      </c>
      <c r="J93" s="35" t="s">
        <v>857</v>
      </c>
      <c r="K93" s="35"/>
    </row>
    <row r="94" customFormat="false" ht="30" hidden="false" customHeight="true" outlineLevel="0" collapsed="false">
      <c r="A94" s="36" t="s">
        <v>858</v>
      </c>
      <c r="B94" s="36" t="s">
        <v>838</v>
      </c>
      <c r="C94" s="36" t="s">
        <v>204</v>
      </c>
      <c r="D94" s="36" t="s">
        <v>201</v>
      </c>
      <c r="E94" s="36" t="s">
        <v>859</v>
      </c>
      <c r="F94" s="36" t="s">
        <v>860</v>
      </c>
      <c r="G94" s="36" t="s">
        <v>200</v>
      </c>
      <c r="H94" s="36" t="s">
        <v>184</v>
      </c>
      <c r="I94" s="36" t="s">
        <v>861</v>
      </c>
      <c r="J94" s="36" t="s">
        <v>862</v>
      </c>
      <c r="K94" s="36"/>
    </row>
    <row r="95" customFormat="false" ht="30" hidden="false" customHeight="true" outlineLevel="0" collapsed="false">
      <c r="A95" s="35" t="s">
        <v>863</v>
      </c>
      <c r="B95" s="35" t="s">
        <v>838</v>
      </c>
      <c r="C95" s="35" t="s">
        <v>204</v>
      </c>
      <c r="D95" s="35" t="s">
        <v>211</v>
      </c>
      <c r="E95" s="35" t="s">
        <v>864</v>
      </c>
      <c r="F95" s="35" t="s">
        <v>865</v>
      </c>
      <c r="G95" s="35" t="s">
        <v>197</v>
      </c>
      <c r="H95" s="35" t="s">
        <v>184</v>
      </c>
      <c r="I95" s="35" t="s">
        <v>866</v>
      </c>
      <c r="J95" s="35" t="s">
        <v>867</v>
      </c>
      <c r="K95" s="35"/>
    </row>
    <row r="96" customFormat="false" ht="30" hidden="false" customHeight="true" outlineLevel="0" collapsed="false">
      <c r="A96" s="35" t="s">
        <v>868</v>
      </c>
      <c r="B96" s="35" t="s">
        <v>838</v>
      </c>
      <c r="C96" s="35" t="s">
        <v>204</v>
      </c>
      <c r="D96" s="35" t="s">
        <v>211</v>
      </c>
      <c r="E96" s="35" t="s">
        <v>869</v>
      </c>
      <c r="F96" s="35" t="s">
        <v>870</v>
      </c>
      <c r="G96" s="35" t="s">
        <v>197</v>
      </c>
      <c r="H96" s="35" t="s">
        <v>184</v>
      </c>
      <c r="I96" s="35" t="s">
        <v>614</v>
      </c>
      <c r="J96" s="35" t="s">
        <v>871</v>
      </c>
      <c r="K96" s="35"/>
    </row>
    <row r="97" customFormat="false" ht="30" hidden="false" customHeight="true" outlineLevel="0" collapsed="false">
      <c r="A97" s="36" t="s">
        <v>872</v>
      </c>
      <c r="B97" s="36" t="s">
        <v>838</v>
      </c>
      <c r="C97" s="36" t="s">
        <v>207</v>
      </c>
      <c r="D97" s="36" t="s">
        <v>201</v>
      </c>
      <c r="E97" s="36" t="s">
        <v>873</v>
      </c>
      <c r="F97" s="36" t="s">
        <v>874</v>
      </c>
      <c r="G97" s="36" t="s">
        <v>200</v>
      </c>
      <c r="H97" s="36" t="s">
        <v>184</v>
      </c>
      <c r="I97" s="36" t="s">
        <v>875</v>
      </c>
      <c r="J97" s="36" t="s">
        <v>876</v>
      </c>
      <c r="K97" s="36"/>
    </row>
    <row r="98" customFormat="false" ht="30" hidden="false" customHeight="true" outlineLevel="0" collapsed="false">
      <c r="A98" s="36" t="s">
        <v>877</v>
      </c>
      <c r="B98" s="36" t="s">
        <v>838</v>
      </c>
      <c r="C98" s="36" t="s">
        <v>204</v>
      </c>
      <c r="D98" s="36" t="s">
        <v>201</v>
      </c>
      <c r="E98" s="36" t="s">
        <v>878</v>
      </c>
      <c r="F98" s="36" t="s">
        <v>879</v>
      </c>
      <c r="G98" s="36" t="s">
        <v>200</v>
      </c>
      <c r="H98" s="36" t="s">
        <v>187</v>
      </c>
      <c r="I98" s="36" t="s">
        <v>875</v>
      </c>
      <c r="J98" s="36" t="s">
        <v>880</v>
      </c>
      <c r="K98" s="36"/>
    </row>
    <row r="99" customFormat="false" ht="30" hidden="false" customHeight="true" outlineLevel="0" collapsed="false">
      <c r="A99" s="35" t="s">
        <v>881</v>
      </c>
      <c r="B99" s="35" t="s">
        <v>882</v>
      </c>
      <c r="C99" s="35" t="s">
        <v>204</v>
      </c>
      <c r="D99" s="35" t="s">
        <v>211</v>
      </c>
      <c r="E99" s="35" t="s">
        <v>883</v>
      </c>
      <c r="F99" s="35" t="s">
        <v>884</v>
      </c>
      <c r="G99" s="35" t="s">
        <v>194</v>
      </c>
      <c r="H99" s="35" t="s">
        <v>184</v>
      </c>
      <c r="I99" s="35" t="s">
        <v>343</v>
      </c>
      <c r="J99" s="35" t="s">
        <v>885</v>
      </c>
      <c r="K99" s="35"/>
    </row>
    <row r="100" customFormat="false" ht="30" hidden="false" customHeight="true" outlineLevel="0" collapsed="false">
      <c r="A100" s="35" t="s">
        <v>886</v>
      </c>
      <c r="B100" s="35" t="s">
        <v>882</v>
      </c>
      <c r="C100" s="35" t="s">
        <v>204</v>
      </c>
      <c r="D100" s="35" t="s">
        <v>211</v>
      </c>
      <c r="E100" s="35" t="s">
        <v>887</v>
      </c>
      <c r="F100" s="35" t="s">
        <v>888</v>
      </c>
      <c r="G100" s="35" t="s">
        <v>194</v>
      </c>
      <c r="H100" s="35" t="s">
        <v>187</v>
      </c>
      <c r="I100" s="35" t="s">
        <v>889</v>
      </c>
      <c r="J100" s="35" t="s">
        <v>890</v>
      </c>
      <c r="K100" s="35" t="s">
        <v>672</v>
      </c>
    </row>
    <row r="101" customFormat="false" ht="30" hidden="false" customHeight="true" outlineLevel="0" collapsed="false">
      <c r="A101" s="35" t="s">
        <v>891</v>
      </c>
      <c r="B101" s="35" t="s">
        <v>882</v>
      </c>
      <c r="C101" s="35" t="s">
        <v>204</v>
      </c>
      <c r="D101" s="35" t="s">
        <v>211</v>
      </c>
      <c r="E101" s="35" t="s">
        <v>892</v>
      </c>
      <c r="F101" s="35" t="s">
        <v>893</v>
      </c>
      <c r="G101" s="35" t="s">
        <v>194</v>
      </c>
      <c r="H101" s="35" t="s">
        <v>187</v>
      </c>
      <c r="I101" s="35" t="s">
        <v>894</v>
      </c>
      <c r="J101" s="35" t="s">
        <v>895</v>
      </c>
      <c r="K101" s="35"/>
    </row>
    <row r="102" customFormat="false" ht="30" hidden="false" customHeight="true" outlineLevel="0" collapsed="false">
      <c r="A102" s="35" t="s">
        <v>896</v>
      </c>
      <c r="B102" s="35" t="s">
        <v>882</v>
      </c>
      <c r="C102" s="35" t="s">
        <v>204</v>
      </c>
      <c r="D102" s="35" t="s">
        <v>211</v>
      </c>
      <c r="E102" s="35" t="s">
        <v>897</v>
      </c>
      <c r="F102" s="35" t="s">
        <v>898</v>
      </c>
      <c r="G102" s="35" t="s">
        <v>194</v>
      </c>
      <c r="H102" s="35" t="s">
        <v>187</v>
      </c>
      <c r="I102" s="35" t="s">
        <v>899</v>
      </c>
      <c r="J102" s="35" t="s">
        <v>900</v>
      </c>
      <c r="K102" s="35"/>
    </row>
    <row r="103" customFormat="false" ht="30" hidden="false" customHeight="true" outlineLevel="0" collapsed="false">
      <c r="A103" s="36" t="s">
        <v>901</v>
      </c>
      <c r="B103" s="36" t="s">
        <v>882</v>
      </c>
      <c r="C103" s="36" t="s">
        <v>204</v>
      </c>
      <c r="D103" s="36" t="s">
        <v>201</v>
      </c>
      <c r="E103" s="36" t="s">
        <v>902</v>
      </c>
      <c r="F103" s="36" t="s">
        <v>903</v>
      </c>
      <c r="G103" s="36" t="s">
        <v>200</v>
      </c>
      <c r="H103" s="36" t="s">
        <v>184</v>
      </c>
      <c r="I103" s="36" t="s">
        <v>904</v>
      </c>
      <c r="J103" s="36" t="s">
        <v>905</v>
      </c>
      <c r="K103" s="36"/>
    </row>
    <row r="104" customFormat="false" ht="30" hidden="false" customHeight="true" outlineLevel="0" collapsed="false">
      <c r="A104" s="35" t="s">
        <v>906</v>
      </c>
      <c r="B104" s="35" t="s">
        <v>882</v>
      </c>
      <c r="C104" s="35" t="s">
        <v>207</v>
      </c>
      <c r="D104" s="35" t="s">
        <v>211</v>
      </c>
      <c r="E104" s="35" t="s">
        <v>907</v>
      </c>
      <c r="F104" s="35" t="s">
        <v>908</v>
      </c>
      <c r="G104" s="35" t="s">
        <v>194</v>
      </c>
      <c r="H104" s="35" t="s">
        <v>184</v>
      </c>
      <c r="I104" s="35" t="s">
        <v>909</v>
      </c>
      <c r="J104" s="35" t="s">
        <v>910</v>
      </c>
      <c r="K104" s="35"/>
    </row>
    <row r="105" customFormat="false" ht="30" hidden="false" customHeight="true" outlineLevel="0" collapsed="false">
      <c r="A105" s="35" t="s">
        <v>911</v>
      </c>
      <c r="B105" s="35" t="s">
        <v>882</v>
      </c>
      <c r="C105" s="35" t="s">
        <v>207</v>
      </c>
      <c r="D105" s="35" t="s">
        <v>211</v>
      </c>
      <c r="E105" s="35" t="s">
        <v>912</v>
      </c>
      <c r="F105" s="35" t="s">
        <v>913</v>
      </c>
      <c r="G105" s="35" t="s">
        <v>194</v>
      </c>
      <c r="H105" s="35" t="s">
        <v>184</v>
      </c>
      <c r="I105" s="35" t="s">
        <v>914</v>
      </c>
      <c r="J105" s="35" t="s">
        <v>915</v>
      </c>
      <c r="K105" s="35"/>
    </row>
    <row r="106" customFormat="false" ht="30" hidden="false" customHeight="true" outlineLevel="0" collapsed="false">
      <c r="A106" s="35" t="s">
        <v>916</v>
      </c>
      <c r="B106" s="35" t="s">
        <v>882</v>
      </c>
      <c r="C106" s="35" t="s">
        <v>207</v>
      </c>
      <c r="D106" s="35" t="s">
        <v>211</v>
      </c>
      <c r="E106" s="35" t="s">
        <v>917</v>
      </c>
      <c r="F106" s="35" t="s">
        <v>918</v>
      </c>
      <c r="G106" s="35" t="s">
        <v>194</v>
      </c>
      <c r="H106" s="35" t="s">
        <v>181</v>
      </c>
      <c r="I106" s="35" t="s">
        <v>919</v>
      </c>
      <c r="J106" s="35" t="s">
        <v>920</v>
      </c>
      <c r="K106" s="35"/>
    </row>
    <row r="107" customFormat="false" ht="30" hidden="false" customHeight="true" outlineLevel="0" collapsed="false">
      <c r="A107" s="35" t="s">
        <v>921</v>
      </c>
      <c r="B107" s="35" t="s">
        <v>882</v>
      </c>
      <c r="C107" s="35" t="s">
        <v>207</v>
      </c>
      <c r="D107" s="35" t="s">
        <v>211</v>
      </c>
      <c r="E107" s="35" t="s">
        <v>922</v>
      </c>
      <c r="F107" s="35" t="s">
        <v>923</v>
      </c>
      <c r="G107" s="35" t="s">
        <v>194</v>
      </c>
      <c r="H107" s="35" t="s">
        <v>184</v>
      </c>
      <c r="I107" s="35" t="s">
        <v>924</v>
      </c>
      <c r="J107" s="35" t="s">
        <v>925</v>
      </c>
      <c r="K107" s="35"/>
    </row>
    <row r="108" customFormat="false" ht="30" hidden="false" customHeight="true" outlineLevel="0" collapsed="false">
      <c r="A108" s="36" t="s">
        <v>926</v>
      </c>
      <c r="B108" s="36" t="s">
        <v>882</v>
      </c>
      <c r="C108" s="36" t="s">
        <v>204</v>
      </c>
      <c r="D108" s="36" t="s">
        <v>201</v>
      </c>
      <c r="E108" s="36" t="s">
        <v>927</v>
      </c>
      <c r="F108" s="36" t="s">
        <v>928</v>
      </c>
      <c r="G108" s="36" t="s">
        <v>200</v>
      </c>
      <c r="H108" s="36" t="s">
        <v>187</v>
      </c>
      <c r="I108" s="36" t="s">
        <v>929</v>
      </c>
      <c r="J108" s="36" t="s">
        <v>930</v>
      </c>
      <c r="K108" s="36"/>
    </row>
    <row r="109" customFormat="false" ht="30" hidden="false" customHeight="true" outlineLevel="0" collapsed="false">
      <c r="A109" s="36" t="s">
        <v>931</v>
      </c>
      <c r="B109" s="36" t="s">
        <v>882</v>
      </c>
      <c r="C109" s="36" t="s">
        <v>204</v>
      </c>
      <c r="D109" s="36" t="s">
        <v>201</v>
      </c>
      <c r="E109" s="36" t="s">
        <v>932</v>
      </c>
      <c r="F109" s="36" t="s">
        <v>933</v>
      </c>
      <c r="G109" s="36" t="s">
        <v>200</v>
      </c>
      <c r="H109" s="36" t="s">
        <v>184</v>
      </c>
      <c r="I109" s="36" t="s">
        <v>929</v>
      </c>
      <c r="J109" s="36" t="s">
        <v>934</v>
      </c>
      <c r="K109" s="36"/>
    </row>
    <row r="110" customFormat="false" ht="30" hidden="false" customHeight="true" outlineLevel="0" collapsed="false">
      <c r="A110" s="35" t="s">
        <v>935</v>
      </c>
      <c r="B110" s="35" t="s">
        <v>936</v>
      </c>
      <c r="C110" s="35" t="s">
        <v>207</v>
      </c>
      <c r="D110" s="35" t="s">
        <v>211</v>
      </c>
      <c r="E110" s="35" t="s">
        <v>937</v>
      </c>
      <c r="F110" s="35" t="s">
        <v>938</v>
      </c>
      <c r="G110" s="35" t="s">
        <v>194</v>
      </c>
      <c r="H110" s="35" t="s">
        <v>184</v>
      </c>
      <c r="I110" s="35" t="s">
        <v>939</v>
      </c>
      <c r="J110" s="35" t="s">
        <v>940</v>
      </c>
      <c r="K110" s="35"/>
    </row>
    <row r="111" customFormat="false" ht="30" hidden="false" customHeight="true" outlineLevel="0" collapsed="false">
      <c r="A111" s="35" t="s">
        <v>941</v>
      </c>
      <c r="B111" s="35" t="s">
        <v>936</v>
      </c>
      <c r="C111" s="35" t="s">
        <v>204</v>
      </c>
      <c r="D111" s="35" t="s">
        <v>211</v>
      </c>
      <c r="E111" s="35" t="s">
        <v>942</v>
      </c>
      <c r="F111" s="35" t="s">
        <v>943</v>
      </c>
      <c r="G111" s="35" t="s">
        <v>194</v>
      </c>
      <c r="H111" s="35" t="s">
        <v>184</v>
      </c>
      <c r="I111" s="35" t="s">
        <v>944</v>
      </c>
      <c r="J111" s="35" t="s">
        <v>945</v>
      </c>
      <c r="K111" s="35"/>
    </row>
    <row r="112" customFormat="false" ht="30" hidden="false" customHeight="true" outlineLevel="0" collapsed="false">
      <c r="A112" s="35" t="s">
        <v>946</v>
      </c>
      <c r="B112" s="35" t="s">
        <v>936</v>
      </c>
      <c r="C112" s="35" t="s">
        <v>204</v>
      </c>
      <c r="D112" s="35" t="s">
        <v>211</v>
      </c>
      <c r="E112" s="35" t="s">
        <v>947</v>
      </c>
      <c r="F112" s="35" t="s">
        <v>948</v>
      </c>
      <c r="G112" s="35" t="s">
        <v>194</v>
      </c>
      <c r="H112" s="35" t="s">
        <v>181</v>
      </c>
      <c r="I112" s="35" t="s">
        <v>949</v>
      </c>
      <c r="J112" s="35" t="s">
        <v>950</v>
      </c>
      <c r="K112" s="35"/>
    </row>
    <row r="113" customFormat="false" ht="30" hidden="false" customHeight="true" outlineLevel="0" collapsed="false">
      <c r="A113" s="35" t="s">
        <v>951</v>
      </c>
      <c r="B113" s="35" t="s">
        <v>936</v>
      </c>
      <c r="C113" s="35" t="s">
        <v>204</v>
      </c>
      <c r="D113" s="35" t="s">
        <v>211</v>
      </c>
      <c r="E113" s="35" t="s">
        <v>952</v>
      </c>
      <c r="F113" s="35" t="s">
        <v>953</v>
      </c>
      <c r="G113" s="35" t="s">
        <v>194</v>
      </c>
      <c r="H113" s="35" t="s">
        <v>184</v>
      </c>
      <c r="I113" s="35" t="s">
        <v>954</v>
      </c>
      <c r="J113" s="35" t="s">
        <v>955</v>
      </c>
      <c r="K113" s="35"/>
    </row>
    <row r="114" customFormat="false" ht="30" hidden="false" customHeight="true" outlineLevel="0" collapsed="false">
      <c r="A114" s="35" t="s">
        <v>956</v>
      </c>
      <c r="B114" s="35" t="s">
        <v>936</v>
      </c>
      <c r="C114" s="35" t="s">
        <v>204</v>
      </c>
      <c r="D114" s="35" t="s">
        <v>211</v>
      </c>
      <c r="E114" s="35" t="s">
        <v>957</v>
      </c>
      <c r="F114" s="35" t="s">
        <v>958</v>
      </c>
      <c r="G114" s="35" t="s">
        <v>194</v>
      </c>
      <c r="H114" s="35" t="s">
        <v>184</v>
      </c>
      <c r="I114" s="35" t="s">
        <v>959</v>
      </c>
      <c r="J114" s="35" t="s">
        <v>960</v>
      </c>
      <c r="K114" s="35"/>
    </row>
    <row r="115" customFormat="false" ht="30" hidden="false" customHeight="true" outlineLevel="0" collapsed="false">
      <c r="A115" s="36" t="s">
        <v>961</v>
      </c>
      <c r="B115" s="36" t="s">
        <v>936</v>
      </c>
      <c r="C115" s="36" t="s">
        <v>204</v>
      </c>
      <c r="D115" s="36" t="s">
        <v>201</v>
      </c>
      <c r="E115" s="36" t="s">
        <v>962</v>
      </c>
      <c r="F115" s="36" t="s">
        <v>963</v>
      </c>
      <c r="G115" s="36" t="s">
        <v>200</v>
      </c>
      <c r="H115" s="36" t="s">
        <v>184</v>
      </c>
      <c r="I115" s="36" t="s">
        <v>964</v>
      </c>
      <c r="J115" s="36" t="s">
        <v>965</v>
      </c>
      <c r="K115" s="36"/>
    </row>
    <row r="116" customFormat="false" ht="30" hidden="false" customHeight="true" outlineLevel="0" collapsed="false">
      <c r="A116" s="36" t="s">
        <v>966</v>
      </c>
      <c r="B116" s="36" t="s">
        <v>936</v>
      </c>
      <c r="C116" s="36" t="s">
        <v>204</v>
      </c>
      <c r="D116" s="36" t="s">
        <v>201</v>
      </c>
      <c r="E116" s="36" t="s">
        <v>967</v>
      </c>
      <c r="F116" s="36" t="s">
        <v>968</v>
      </c>
      <c r="G116" s="36" t="s">
        <v>200</v>
      </c>
      <c r="H116" s="36" t="s">
        <v>181</v>
      </c>
      <c r="I116" s="36" t="s">
        <v>949</v>
      </c>
      <c r="J116" s="36" t="s">
        <v>969</v>
      </c>
      <c r="K116" s="36"/>
    </row>
    <row r="117" customFormat="false" ht="30" hidden="false" customHeight="true" outlineLevel="0" collapsed="false">
      <c r="A117" s="36" t="s">
        <v>970</v>
      </c>
      <c r="B117" s="36" t="s">
        <v>936</v>
      </c>
      <c r="C117" s="36" t="s">
        <v>204</v>
      </c>
      <c r="D117" s="36" t="s">
        <v>201</v>
      </c>
      <c r="E117" s="36" t="s">
        <v>971</v>
      </c>
      <c r="F117" s="36" t="s">
        <v>972</v>
      </c>
      <c r="G117" s="36" t="s">
        <v>200</v>
      </c>
      <c r="H117" s="36" t="s">
        <v>184</v>
      </c>
      <c r="I117" s="36" t="s">
        <v>973</v>
      </c>
      <c r="J117" s="36" t="s">
        <v>974</v>
      </c>
      <c r="K117" s="36"/>
    </row>
    <row r="118" customFormat="false" ht="30" hidden="false" customHeight="true" outlineLevel="0" collapsed="false">
      <c r="A118" s="36" t="s">
        <v>975</v>
      </c>
      <c r="B118" s="36" t="s">
        <v>936</v>
      </c>
      <c r="C118" s="36" t="s">
        <v>204</v>
      </c>
      <c r="D118" s="36" t="s">
        <v>201</v>
      </c>
      <c r="E118" s="36" t="s">
        <v>976</v>
      </c>
      <c r="F118" s="36" t="s">
        <v>977</v>
      </c>
      <c r="G118" s="36" t="s">
        <v>200</v>
      </c>
      <c r="H118" s="36" t="s">
        <v>184</v>
      </c>
      <c r="I118" s="36" t="s">
        <v>978</v>
      </c>
      <c r="J118" s="36" t="s">
        <v>979</v>
      </c>
      <c r="K118" s="36"/>
    </row>
    <row r="119" customFormat="false" ht="30" hidden="false" customHeight="true" outlineLevel="0" collapsed="false">
      <c r="A119" s="36" t="s">
        <v>980</v>
      </c>
      <c r="B119" s="36" t="s">
        <v>936</v>
      </c>
      <c r="C119" s="36" t="s">
        <v>204</v>
      </c>
      <c r="D119" s="36" t="s">
        <v>201</v>
      </c>
      <c r="E119" s="36" t="s">
        <v>981</v>
      </c>
      <c r="F119" s="36" t="s">
        <v>982</v>
      </c>
      <c r="G119" s="36" t="s">
        <v>200</v>
      </c>
      <c r="H119" s="36" t="s">
        <v>184</v>
      </c>
      <c r="I119" s="36" t="s">
        <v>983</v>
      </c>
      <c r="J119" s="36" t="s">
        <v>984</v>
      </c>
      <c r="K119" s="36"/>
    </row>
    <row r="120" customFormat="false" ht="30" hidden="false" customHeight="true" outlineLevel="0" collapsed="false">
      <c r="A120" s="36" t="s">
        <v>985</v>
      </c>
      <c r="B120" s="36" t="s">
        <v>936</v>
      </c>
      <c r="C120" s="36" t="s">
        <v>204</v>
      </c>
      <c r="D120" s="36" t="s">
        <v>201</v>
      </c>
      <c r="E120" s="36" t="s">
        <v>986</v>
      </c>
      <c r="F120" s="36" t="s">
        <v>987</v>
      </c>
      <c r="G120" s="36" t="s">
        <v>200</v>
      </c>
      <c r="H120" s="36" t="s">
        <v>184</v>
      </c>
      <c r="I120" s="36" t="s">
        <v>614</v>
      </c>
      <c r="J120" s="36" t="s">
        <v>988</v>
      </c>
      <c r="K120" s="36"/>
    </row>
    <row r="121" customFormat="false" ht="30" hidden="false" customHeight="true" outlineLevel="0" collapsed="false">
      <c r="A121" s="36" t="s">
        <v>989</v>
      </c>
      <c r="B121" s="36" t="s">
        <v>936</v>
      </c>
      <c r="C121" s="36" t="s">
        <v>204</v>
      </c>
      <c r="D121" s="36" t="s">
        <v>201</v>
      </c>
      <c r="E121" s="36" t="s">
        <v>990</v>
      </c>
      <c r="F121" s="36" t="s">
        <v>991</v>
      </c>
      <c r="G121" s="36" t="s">
        <v>200</v>
      </c>
      <c r="H121" s="36" t="s">
        <v>187</v>
      </c>
      <c r="I121" s="36" t="s">
        <v>992</v>
      </c>
      <c r="J121" s="36" t="s">
        <v>993</v>
      </c>
      <c r="K121" s="36"/>
    </row>
    <row r="122" customFormat="false" ht="30" hidden="false" customHeight="true" outlineLevel="0" collapsed="false">
      <c r="A122" s="36" t="s">
        <v>994</v>
      </c>
      <c r="B122" s="36" t="s">
        <v>936</v>
      </c>
      <c r="C122" s="36" t="s">
        <v>207</v>
      </c>
      <c r="D122" s="36" t="s">
        <v>201</v>
      </c>
      <c r="E122" s="36" t="s">
        <v>995</v>
      </c>
      <c r="F122" s="36" t="s">
        <v>996</v>
      </c>
      <c r="G122" s="36" t="s">
        <v>200</v>
      </c>
      <c r="H122" s="36" t="s">
        <v>184</v>
      </c>
      <c r="I122" s="36" t="s">
        <v>997</v>
      </c>
      <c r="J122" s="36" t="s">
        <v>998</v>
      </c>
      <c r="K122" s="36"/>
    </row>
    <row r="123" customFormat="false" ht="30" hidden="false" customHeight="true" outlineLevel="0" collapsed="false">
      <c r="A123" s="35" t="s">
        <v>999</v>
      </c>
      <c r="B123" s="35" t="s">
        <v>1000</v>
      </c>
      <c r="C123" s="35" t="s">
        <v>207</v>
      </c>
      <c r="D123" s="35" t="s">
        <v>211</v>
      </c>
      <c r="E123" s="35" t="s">
        <v>1001</v>
      </c>
      <c r="F123" s="35" t="s">
        <v>1002</v>
      </c>
      <c r="G123" s="35" t="s">
        <v>194</v>
      </c>
      <c r="H123" s="35" t="s">
        <v>184</v>
      </c>
      <c r="I123" s="35" t="s">
        <v>365</v>
      </c>
      <c r="J123" s="35" t="s">
        <v>1003</v>
      </c>
      <c r="K123" s="35"/>
    </row>
    <row r="124" customFormat="false" ht="30" hidden="false" customHeight="true" outlineLevel="0" collapsed="false">
      <c r="A124" s="35" t="s">
        <v>1004</v>
      </c>
      <c r="B124" s="35" t="s">
        <v>1000</v>
      </c>
      <c r="C124" s="35" t="s">
        <v>207</v>
      </c>
      <c r="D124" s="35" t="s">
        <v>211</v>
      </c>
      <c r="E124" s="35" t="s">
        <v>1005</v>
      </c>
      <c r="F124" s="35" t="s">
        <v>1006</v>
      </c>
      <c r="G124" s="35" t="s">
        <v>194</v>
      </c>
      <c r="H124" s="35" t="s">
        <v>184</v>
      </c>
      <c r="I124" s="35" t="s">
        <v>973</v>
      </c>
      <c r="J124" s="35" t="s">
        <v>1007</v>
      </c>
      <c r="K124" s="35"/>
    </row>
    <row r="125" customFormat="false" ht="30" hidden="false" customHeight="true" outlineLevel="0" collapsed="false">
      <c r="A125" s="35" t="s">
        <v>1008</v>
      </c>
      <c r="B125" s="35" t="s">
        <v>1000</v>
      </c>
      <c r="C125" s="35" t="s">
        <v>207</v>
      </c>
      <c r="D125" s="35" t="s">
        <v>211</v>
      </c>
      <c r="E125" s="35" t="s">
        <v>1009</v>
      </c>
      <c r="F125" s="35" t="s">
        <v>1010</v>
      </c>
      <c r="G125" s="35" t="s">
        <v>194</v>
      </c>
      <c r="H125" s="35" t="s">
        <v>184</v>
      </c>
      <c r="I125" s="35" t="s">
        <v>1011</v>
      </c>
      <c r="J125" s="35" t="s">
        <v>1012</v>
      </c>
      <c r="K125" s="35"/>
    </row>
    <row r="126" customFormat="false" ht="30" hidden="false" customHeight="true" outlineLevel="0" collapsed="false">
      <c r="A126" s="35" t="s">
        <v>1013</v>
      </c>
      <c r="B126" s="35" t="s">
        <v>1000</v>
      </c>
      <c r="C126" s="35" t="s">
        <v>207</v>
      </c>
      <c r="D126" s="35" t="s">
        <v>211</v>
      </c>
      <c r="E126" s="35" t="s">
        <v>1014</v>
      </c>
      <c r="F126" s="35" t="s">
        <v>1015</v>
      </c>
      <c r="G126" s="35" t="s">
        <v>194</v>
      </c>
      <c r="H126" s="35" t="s">
        <v>181</v>
      </c>
      <c r="I126" s="35" t="s">
        <v>1016</v>
      </c>
      <c r="J126" s="35" t="s">
        <v>1017</v>
      </c>
      <c r="K126" s="35"/>
    </row>
    <row r="127" customFormat="false" ht="30" hidden="false" customHeight="true" outlineLevel="0" collapsed="false">
      <c r="A127" s="35" t="s">
        <v>1018</v>
      </c>
      <c r="B127" s="35" t="s">
        <v>1000</v>
      </c>
      <c r="C127" s="35" t="s">
        <v>204</v>
      </c>
      <c r="D127" s="35" t="s">
        <v>211</v>
      </c>
      <c r="E127" s="35" t="s">
        <v>1019</v>
      </c>
      <c r="F127" s="35" t="s">
        <v>1020</v>
      </c>
      <c r="G127" s="35" t="s">
        <v>194</v>
      </c>
      <c r="H127" s="35" t="s">
        <v>184</v>
      </c>
      <c r="I127" s="35" t="s">
        <v>557</v>
      </c>
      <c r="J127" s="35" t="s">
        <v>1021</v>
      </c>
      <c r="K127" s="35"/>
    </row>
    <row r="128" customFormat="false" ht="30" hidden="false" customHeight="true" outlineLevel="0" collapsed="false">
      <c r="A128" s="36" t="s">
        <v>1022</v>
      </c>
      <c r="B128" s="36" t="s">
        <v>1000</v>
      </c>
      <c r="C128" s="36" t="s">
        <v>204</v>
      </c>
      <c r="D128" s="36" t="s">
        <v>201</v>
      </c>
      <c r="E128" s="36" t="s">
        <v>1023</v>
      </c>
      <c r="F128" s="36" t="s">
        <v>1024</v>
      </c>
      <c r="G128" s="36" t="s">
        <v>200</v>
      </c>
      <c r="H128" s="36" t="s">
        <v>184</v>
      </c>
      <c r="I128" s="36" t="s">
        <v>1025</v>
      </c>
      <c r="J128" s="36" t="s">
        <v>1026</v>
      </c>
      <c r="K128" s="36"/>
    </row>
    <row r="129" customFormat="false" ht="30" hidden="false" customHeight="true" outlineLevel="0" collapsed="false">
      <c r="A129" s="36" t="s">
        <v>1027</v>
      </c>
      <c r="B129" s="36" t="s">
        <v>1000</v>
      </c>
      <c r="C129" s="36" t="s">
        <v>207</v>
      </c>
      <c r="D129" s="36" t="s">
        <v>201</v>
      </c>
      <c r="E129" s="36" t="s">
        <v>1028</v>
      </c>
      <c r="F129" s="36" t="s">
        <v>1029</v>
      </c>
      <c r="G129" s="36" t="s">
        <v>200</v>
      </c>
      <c r="H129" s="36" t="s">
        <v>184</v>
      </c>
      <c r="I129" s="36" t="s">
        <v>1030</v>
      </c>
      <c r="J129" s="36" t="s">
        <v>1031</v>
      </c>
      <c r="K129" s="36"/>
    </row>
    <row r="130" customFormat="false" ht="30" hidden="false" customHeight="true" outlineLevel="0" collapsed="false">
      <c r="A130" s="36" t="s">
        <v>1032</v>
      </c>
      <c r="B130" s="36" t="s">
        <v>1000</v>
      </c>
      <c r="C130" s="36" t="s">
        <v>207</v>
      </c>
      <c r="D130" s="36" t="s">
        <v>201</v>
      </c>
      <c r="E130" s="36" t="s">
        <v>1033</v>
      </c>
      <c r="F130" s="36" t="s">
        <v>1034</v>
      </c>
      <c r="G130" s="36" t="s">
        <v>200</v>
      </c>
      <c r="H130" s="36" t="s">
        <v>184</v>
      </c>
      <c r="I130" s="36" t="s">
        <v>1035</v>
      </c>
      <c r="J130" s="36" t="s">
        <v>1036</v>
      </c>
      <c r="K130" s="36"/>
    </row>
    <row r="131" customFormat="false" ht="30" hidden="false" customHeight="true" outlineLevel="0" collapsed="false">
      <c r="A131" s="35" t="s">
        <v>1037</v>
      </c>
      <c r="B131" s="35" t="s">
        <v>1038</v>
      </c>
      <c r="C131" s="35" t="s">
        <v>207</v>
      </c>
      <c r="D131" s="35" t="s">
        <v>211</v>
      </c>
      <c r="E131" s="35" t="s">
        <v>1039</v>
      </c>
      <c r="F131" s="35" t="s">
        <v>1040</v>
      </c>
      <c r="G131" s="35" t="s">
        <v>194</v>
      </c>
      <c r="H131" s="35" t="s">
        <v>181</v>
      </c>
      <c r="I131" s="35" t="s">
        <v>328</v>
      </c>
      <c r="J131" s="35" t="s">
        <v>1041</v>
      </c>
      <c r="K131" s="35"/>
    </row>
    <row r="132" customFormat="false" ht="30" hidden="false" customHeight="true" outlineLevel="0" collapsed="false">
      <c r="A132" s="35" t="s">
        <v>1042</v>
      </c>
      <c r="B132" s="35" t="s">
        <v>1038</v>
      </c>
      <c r="C132" s="35" t="s">
        <v>207</v>
      </c>
      <c r="D132" s="35" t="s">
        <v>211</v>
      </c>
      <c r="E132" s="35" t="s">
        <v>1043</v>
      </c>
      <c r="F132" s="35" t="s">
        <v>1044</v>
      </c>
      <c r="G132" s="35" t="s">
        <v>194</v>
      </c>
      <c r="H132" s="35" t="s">
        <v>181</v>
      </c>
      <c r="I132" s="35" t="s">
        <v>1045</v>
      </c>
      <c r="J132" s="35" t="s">
        <v>1046</v>
      </c>
      <c r="K132" s="35"/>
    </row>
    <row r="133" customFormat="false" ht="30" hidden="false" customHeight="true" outlineLevel="0" collapsed="false">
      <c r="A133" s="35" t="s">
        <v>1047</v>
      </c>
      <c r="B133" s="35" t="s">
        <v>1038</v>
      </c>
      <c r="C133" s="35" t="s">
        <v>204</v>
      </c>
      <c r="D133" s="35" t="s">
        <v>211</v>
      </c>
      <c r="E133" s="35" t="s">
        <v>1048</v>
      </c>
      <c r="F133" s="35" t="s">
        <v>1049</v>
      </c>
      <c r="G133" s="35" t="s">
        <v>194</v>
      </c>
      <c r="H133" s="35" t="s">
        <v>184</v>
      </c>
      <c r="I133" s="35" t="s">
        <v>1050</v>
      </c>
      <c r="J133" s="35" t="s">
        <v>1051</v>
      </c>
      <c r="K133" s="35"/>
    </row>
    <row r="134" customFormat="false" ht="30" hidden="false" customHeight="true" outlineLevel="0" collapsed="false">
      <c r="A134" s="35" t="s">
        <v>1052</v>
      </c>
      <c r="B134" s="35" t="s">
        <v>1038</v>
      </c>
      <c r="C134" s="35" t="s">
        <v>204</v>
      </c>
      <c r="D134" s="35" t="s">
        <v>211</v>
      </c>
      <c r="E134" s="35" t="s">
        <v>1053</v>
      </c>
      <c r="F134" s="35" t="s">
        <v>1054</v>
      </c>
      <c r="G134" s="35" t="s">
        <v>194</v>
      </c>
      <c r="H134" s="35" t="s">
        <v>184</v>
      </c>
      <c r="I134" s="35" t="s">
        <v>1050</v>
      </c>
      <c r="J134" s="35" t="s">
        <v>1055</v>
      </c>
      <c r="K134" s="35"/>
    </row>
    <row r="135" customFormat="false" ht="30" hidden="false" customHeight="true" outlineLevel="0" collapsed="false">
      <c r="A135" s="36" t="s">
        <v>1056</v>
      </c>
      <c r="B135" s="36" t="s">
        <v>1038</v>
      </c>
      <c r="C135" s="36" t="s">
        <v>207</v>
      </c>
      <c r="D135" s="36" t="s">
        <v>201</v>
      </c>
      <c r="E135" s="36" t="s">
        <v>1057</v>
      </c>
      <c r="F135" s="36" t="s">
        <v>1058</v>
      </c>
      <c r="G135" s="36" t="s">
        <v>200</v>
      </c>
      <c r="H135" s="36" t="s">
        <v>184</v>
      </c>
      <c r="I135" s="36" t="s">
        <v>1059</v>
      </c>
      <c r="J135" s="36" t="s">
        <v>1060</v>
      </c>
      <c r="K135" s="36"/>
    </row>
    <row r="136" customFormat="false" ht="30" hidden="false" customHeight="true" outlineLevel="0" collapsed="false">
      <c r="A136" s="36" t="s">
        <v>1061</v>
      </c>
      <c r="B136" s="36" t="s">
        <v>1038</v>
      </c>
      <c r="C136" s="36" t="s">
        <v>207</v>
      </c>
      <c r="D136" s="36" t="s">
        <v>201</v>
      </c>
      <c r="E136" s="36" t="s">
        <v>1062</v>
      </c>
      <c r="F136" s="36" t="s">
        <v>1063</v>
      </c>
      <c r="G136" s="36" t="s">
        <v>200</v>
      </c>
      <c r="H136" s="36" t="s">
        <v>184</v>
      </c>
      <c r="I136" s="36" t="s">
        <v>1064</v>
      </c>
      <c r="J136" s="36" t="s">
        <v>1065</v>
      </c>
      <c r="K136" s="36"/>
    </row>
    <row r="137" customFormat="false" ht="30" hidden="false" customHeight="true" outlineLevel="0" collapsed="false">
      <c r="A137" s="36" t="s">
        <v>1066</v>
      </c>
      <c r="B137" s="36" t="s">
        <v>1038</v>
      </c>
      <c r="C137" s="36" t="s">
        <v>207</v>
      </c>
      <c r="D137" s="36" t="s">
        <v>201</v>
      </c>
      <c r="E137" s="36" t="s">
        <v>1067</v>
      </c>
      <c r="F137" s="36" t="s">
        <v>1068</v>
      </c>
      <c r="G137" s="36" t="s">
        <v>200</v>
      </c>
      <c r="H137" s="36" t="s">
        <v>190</v>
      </c>
      <c r="I137" s="36" t="s">
        <v>1050</v>
      </c>
      <c r="J137" s="36" t="s">
        <v>1069</v>
      </c>
      <c r="K137" s="36"/>
    </row>
    <row r="138" customFormat="false" ht="30" hidden="false" customHeight="true" outlineLevel="0" collapsed="false">
      <c r="A138" s="36" t="s">
        <v>1070</v>
      </c>
      <c r="B138" s="36" t="s">
        <v>1038</v>
      </c>
      <c r="C138" s="36" t="s">
        <v>204</v>
      </c>
      <c r="D138" s="36" t="s">
        <v>201</v>
      </c>
      <c r="E138" s="36" t="s">
        <v>1071</v>
      </c>
      <c r="F138" s="36" t="s">
        <v>1072</v>
      </c>
      <c r="G138" s="36" t="s">
        <v>200</v>
      </c>
      <c r="H138" s="36" t="s">
        <v>184</v>
      </c>
      <c r="I138" s="36" t="s">
        <v>1073</v>
      </c>
      <c r="J138" s="36" t="s">
        <v>1074</v>
      </c>
      <c r="K138" s="36"/>
    </row>
    <row r="139" customFormat="false" ht="30" hidden="false" customHeight="true" outlineLevel="0" collapsed="false">
      <c r="A139" s="35" t="s">
        <v>1075</v>
      </c>
      <c r="B139" s="35" t="s">
        <v>1076</v>
      </c>
      <c r="C139" s="35" t="s">
        <v>207</v>
      </c>
      <c r="D139" s="35" t="s">
        <v>211</v>
      </c>
      <c r="E139" s="35" t="s">
        <v>1077</v>
      </c>
      <c r="F139" s="35" t="s">
        <v>1078</v>
      </c>
      <c r="G139" s="35" t="s">
        <v>194</v>
      </c>
      <c r="H139" s="35" t="s">
        <v>190</v>
      </c>
      <c r="I139" s="35" t="s">
        <v>1079</v>
      </c>
      <c r="J139" s="35" t="s">
        <v>1080</v>
      </c>
      <c r="K139" s="35" t="s">
        <v>1081</v>
      </c>
    </row>
    <row r="140" customFormat="false" ht="30" hidden="false" customHeight="true" outlineLevel="0" collapsed="false">
      <c r="A140" s="35" t="s">
        <v>1082</v>
      </c>
      <c r="B140" s="35" t="s">
        <v>1076</v>
      </c>
      <c r="C140" s="35" t="s">
        <v>207</v>
      </c>
      <c r="D140" s="35" t="s">
        <v>211</v>
      </c>
      <c r="E140" s="35" t="s">
        <v>1083</v>
      </c>
      <c r="F140" s="35" t="s">
        <v>1084</v>
      </c>
      <c r="G140" s="35" t="s">
        <v>194</v>
      </c>
      <c r="H140" s="35" t="s">
        <v>187</v>
      </c>
      <c r="I140" s="35" t="s">
        <v>1085</v>
      </c>
      <c r="J140" s="35" t="s">
        <v>1086</v>
      </c>
      <c r="K140" s="35"/>
    </row>
    <row r="141" customFormat="false" ht="30" hidden="false" customHeight="true" outlineLevel="0" collapsed="false">
      <c r="A141" s="35" t="s">
        <v>1087</v>
      </c>
      <c r="B141" s="35" t="s">
        <v>1076</v>
      </c>
      <c r="C141" s="35" t="s">
        <v>207</v>
      </c>
      <c r="D141" s="35" t="s">
        <v>211</v>
      </c>
      <c r="E141" s="35" t="s">
        <v>1088</v>
      </c>
      <c r="F141" s="35" t="s">
        <v>1089</v>
      </c>
      <c r="G141" s="35" t="s">
        <v>194</v>
      </c>
      <c r="H141" s="35" t="s">
        <v>187</v>
      </c>
      <c r="I141" s="35" t="s">
        <v>1090</v>
      </c>
      <c r="J141" s="35" t="s">
        <v>1091</v>
      </c>
      <c r="K141" s="35"/>
    </row>
    <row r="142" customFormat="false" ht="30" hidden="false" customHeight="true" outlineLevel="0" collapsed="false">
      <c r="A142" s="35" t="s">
        <v>1092</v>
      </c>
      <c r="B142" s="35" t="s">
        <v>1076</v>
      </c>
      <c r="C142" s="35" t="s">
        <v>207</v>
      </c>
      <c r="D142" s="35" t="s">
        <v>211</v>
      </c>
      <c r="E142" s="35" t="s">
        <v>1093</v>
      </c>
      <c r="F142" s="35" t="s">
        <v>1094</v>
      </c>
      <c r="G142" s="35" t="s">
        <v>194</v>
      </c>
      <c r="H142" s="35" t="s">
        <v>184</v>
      </c>
      <c r="I142" s="35" t="s">
        <v>1085</v>
      </c>
      <c r="J142" s="35" t="s">
        <v>1095</v>
      </c>
      <c r="K142" s="35"/>
    </row>
    <row r="143" customFormat="false" ht="30" hidden="false" customHeight="true" outlineLevel="0" collapsed="false">
      <c r="A143" s="35" t="s">
        <v>1096</v>
      </c>
      <c r="B143" s="35" t="s">
        <v>1076</v>
      </c>
      <c r="C143" s="35" t="s">
        <v>207</v>
      </c>
      <c r="D143" s="35" t="s">
        <v>211</v>
      </c>
      <c r="E143" s="35" t="s">
        <v>1097</v>
      </c>
      <c r="F143" s="35" t="s">
        <v>1098</v>
      </c>
      <c r="G143" s="35" t="s">
        <v>194</v>
      </c>
      <c r="H143" s="35" t="s">
        <v>184</v>
      </c>
      <c r="I143" s="35" t="s">
        <v>1099</v>
      </c>
      <c r="J143" s="35" t="s">
        <v>1100</v>
      </c>
      <c r="K143" s="35"/>
    </row>
    <row r="144" customFormat="false" ht="30" hidden="false" customHeight="true" outlineLevel="0" collapsed="false">
      <c r="A144" s="35" t="s">
        <v>1101</v>
      </c>
      <c r="B144" s="35" t="s">
        <v>1076</v>
      </c>
      <c r="C144" s="35" t="s">
        <v>207</v>
      </c>
      <c r="D144" s="35" t="s">
        <v>211</v>
      </c>
      <c r="E144" s="35" t="s">
        <v>1102</v>
      </c>
      <c r="F144" s="35" t="s">
        <v>1103</v>
      </c>
      <c r="G144" s="35" t="s">
        <v>194</v>
      </c>
      <c r="H144" s="35" t="s">
        <v>181</v>
      </c>
      <c r="I144" s="35" t="s">
        <v>1085</v>
      </c>
      <c r="J144" s="35" t="s">
        <v>1104</v>
      </c>
      <c r="K144" s="35"/>
    </row>
    <row r="145" customFormat="false" ht="30" hidden="false" customHeight="true" outlineLevel="0" collapsed="false">
      <c r="A145" s="35" t="s">
        <v>1105</v>
      </c>
      <c r="B145" s="35" t="s">
        <v>1076</v>
      </c>
      <c r="C145" s="35" t="s">
        <v>207</v>
      </c>
      <c r="D145" s="35" t="s">
        <v>211</v>
      </c>
      <c r="E145" s="35" t="s">
        <v>1106</v>
      </c>
      <c r="F145" s="35" t="s">
        <v>1107</v>
      </c>
      <c r="G145" s="35" t="s">
        <v>197</v>
      </c>
      <c r="H145" s="35" t="s">
        <v>181</v>
      </c>
      <c r="I145" s="35" t="s">
        <v>1108</v>
      </c>
      <c r="J145" s="35" t="s">
        <v>1109</v>
      </c>
      <c r="K145" s="35"/>
    </row>
    <row r="146" customFormat="false" ht="30" hidden="false" customHeight="true" outlineLevel="0" collapsed="false">
      <c r="A146" s="36" t="s">
        <v>1110</v>
      </c>
      <c r="B146" s="36" t="s">
        <v>1076</v>
      </c>
      <c r="C146" s="36" t="s">
        <v>207</v>
      </c>
      <c r="D146" s="36" t="s">
        <v>201</v>
      </c>
      <c r="E146" s="36" t="s">
        <v>1111</v>
      </c>
      <c r="F146" s="36" t="s">
        <v>1112</v>
      </c>
      <c r="G146" s="36" t="s">
        <v>200</v>
      </c>
      <c r="H146" s="36" t="s">
        <v>184</v>
      </c>
      <c r="I146" s="36" t="s">
        <v>1099</v>
      </c>
      <c r="J146" s="36" t="s">
        <v>1113</v>
      </c>
      <c r="K146" s="36"/>
    </row>
    <row r="147" customFormat="false" ht="30" hidden="false" customHeight="true" outlineLevel="0" collapsed="false">
      <c r="A147" s="36" t="s">
        <v>1114</v>
      </c>
      <c r="B147" s="36" t="s">
        <v>1076</v>
      </c>
      <c r="C147" s="36" t="s">
        <v>207</v>
      </c>
      <c r="D147" s="36" t="s">
        <v>201</v>
      </c>
      <c r="E147" s="36" t="s">
        <v>1115</v>
      </c>
      <c r="F147" s="36" t="s">
        <v>1116</v>
      </c>
      <c r="G147" s="36" t="s">
        <v>200</v>
      </c>
      <c r="H147" s="36" t="s">
        <v>187</v>
      </c>
      <c r="I147" s="36" t="s">
        <v>1117</v>
      </c>
      <c r="J147" s="36" t="s">
        <v>1118</v>
      </c>
      <c r="K147" s="36"/>
    </row>
    <row r="148" customFormat="false" ht="30" hidden="false" customHeight="true" outlineLevel="0" collapsed="false">
      <c r="A148" s="36" t="s">
        <v>1119</v>
      </c>
      <c r="B148" s="36" t="s">
        <v>1076</v>
      </c>
      <c r="C148" s="36" t="s">
        <v>204</v>
      </c>
      <c r="D148" s="36" t="s">
        <v>201</v>
      </c>
      <c r="E148" s="36" t="s">
        <v>1120</v>
      </c>
      <c r="F148" s="36" t="s">
        <v>1121</v>
      </c>
      <c r="G148" s="36" t="s">
        <v>200</v>
      </c>
      <c r="H148" s="36" t="s">
        <v>190</v>
      </c>
      <c r="I148" s="36" t="s">
        <v>557</v>
      </c>
      <c r="J148" s="36" t="s">
        <v>1122</v>
      </c>
      <c r="K148" s="36"/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2026-04-15T12:01:11Z</dcterms:created>
  <dc:creator>openpyxl</dc:creator>
  <dc:description/>
  <dc:language>en-US</dc:language>
  <cp:lastModifiedBy/>
  <dcterms:modified xsi:type="dcterms:W3CDTF">2026-04-15T22:49:37Z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